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Change Orders" sheetId="2" state="visible" r:id="rId2"/>
    <sheet name="Invoices" sheetId="3" state="visible" r:id="rId3"/>
    <sheet name="Unmatched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  <fill>
      <patternFill patternType="solid">
        <fgColor rgb="00D4EDDA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FF3C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7" borderId="1" applyAlignment="1" pivotButton="0" quotePrefix="0" xfId="0">
      <alignment horizontal="center" vertical="center" wrapText="1"/>
    </xf>
    <xf numFmtId="4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3" fontId="2" fillId="9" borderId="1" applyAlignment="1" pivotButton="0" quotePrefix="0" xfId="0">
      <alignment horizontal="center" vertical="center" wrapText="1"/>
    </xf>
    <xf numFmtId="4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4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center" vertical="center"/>
    </xf>
    <xf numFmtId="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4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9" customWidth="1" min="7" max="7"/>
    <col width="9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8" customWidth="1" min="52" max="52"/>
    <col width="13" customWidth="1" min="53" max="53"/>
    <col width="12" customWidth="1" min="54" max="54"/>
    <col width="12" customWidth="1" min="55" max="55"/>
    <col width="14" customWidth="1" min="56" max="56"/>
    <col width="15" customWidth="1" min="57" max="57"/>
    <col width="12" customWidth="1" min="58" max="58"/>
    <col width="12" customWidth="1" min="59" max="59"/>
    <col width="12" customWidth="1" min="60" max="60"/>
    <col width="14" customWidth="1" min="61" max="61"/>
    <col width="15" customWidth="1" min="62" max="62"/>
    <col width="14" customWidth="1" min="63" max="63"/>
    <col width="14" customWidth="1" min="64" max="64"/>
    <col width="14" customWidth="1" min="65" max="65"/>
  </cols>
  <sheetData>
    <row r="1" ht="44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CO Qty</t>
        </is>
      </c>
      <c r="H1" s="1" t="inlineStr">
        <is>
          <t>PO+CO Qty</t>
        </is>
      </c>
      <c r="I1" s="1" t="inlineStr">
        <is>
          <t>Unit Cost</t>
        </is>
      </c>
      <c r="J1" s="1" t="inlineStr">
        <is>
          <t>LF (Linear Ft)</t>
        </is>
      </c>
      <c r="K1" s="1" t="inlineStr">
        <is>
          <t>BF/SF</t>
        </is>
      </c>
      <c r="L1" s="1" t="inlineStr">
        <is>
          <t>Total Cost</t>
        </is>
      </c>
      <c r="M1" s="1" t="inlineStr">
        <is>
          <t>Total Cost+Tax</t>
        </is>
      </c>
      <c r="N1" s="1" t="inlineStr">
        <is>
          <t>2026-11-20</t>
        </is>
      </c>
      <c r="O1" s="1" t="inlineStr">
        <is>
          <t>2025-11-20</t>
        </is>
      </c>
      <c r="P1" s="1" t="inlineStr">
        <is>
          <t>2025-11-20</t>
        </is>
      </c>
      <c r="Q1" s="1" t="inlineStr">
        <is>
          <t>2025-11-20</t>
        </is>
      </c>
      <c r="R1" s="1" t="inlineStr">
        <is>
          <t>2025-11-20</t>
        </is>
      </c>
      <c r="S1" s="1" t="inlineStr">
        <is>
          <t>2025-11-20</t>
        </is>
      </c>
      <c r="T1" s="1" t="inlineStr">
        <is>
          <t>2025-11-20</t>
        </is>
      </c>
      <c r="U1" s="1" t="inlineStr">
        <is>
          <t>2025-11-20</t>
        </is>
      </c>
      <c r="V1" s="1" t="inlineStr">
        <is>
          <t>2025-11-20</t>
        </is>
      </c>
      <c r="W1" s="1" t="inlineStr">
        <is>
          <t>2025-11-20</t>
        </is>
      </c>
      <c r="X1" s="1" t="inlineStr">
        <is>
          <t>2025-11-26</t>
        </is>
      </c>
      <c r="Y1" s="1" t="inlineStr">
        <is>
          <t>2025-11-20</t>
        </is>
      </c>
      <c r="Z1" s="1" t="inlineStr">
        <is>
          <t>2025-11-20</t>
        </is>
      </c>
      <c r="AA1" s="1" t="inlineStr">
        <is>
          <t>2025-11-20</t>
        </is>
      </c>
      <c r="AB1" s="1" t="inlineStr">
        <is>
          <t>2025-11-26</t>
        </is>
      </c>
      <c r="AC1" s="1" t="inlineStr">
        <is>
          <t>2025-11-20</t>
        </is>
      </c>
      <c r="AD1" s="1" t="inlineStr">
        <is>
          <t>2025-11-21</t>
        </is>
      </c>
      <c r="AE1" s="1" t="inlineStr">
        <is>
          <t>2025-11-26</t>
        </is>
      </c>
      <c r="AF1" s="1" t="inlineStr">
        <is>
          <t>2025-11-26</t>
        </is>
      </c>
      <c r="AG1" s="1" t="inlineStr">
        <is>
          <t>2025-11-20</t>
        </is>
      </c>
      <c r="AH1" s="1" t="inlineStr">
        <is>
          <t>2025-11-20</t>
        </is>
      </c>
      <c r="AI1" s="1" t="inlineStr">
        <is>
          <t>2025-11-20</t>
        </is>
      </c>
      <c r="AJ1" s="1" t="inlineStr">
        <is>
          <t>2025-11-26</t>
        </is>
      </c>
      <c r="AK1" s="1" t="inlineStr">
        <is>
          <t>2025-12-10</t>
        </is>
      </c>
      <c r="AL1" s="1" t="inlineStr">
        <is>
          <t>2025-11-25</t>
        </is>
      </c>
      <c r="AM1" s="1" t="inlineStr">
        <is>
          <t>2025-11-25</t>
        </is>
      </c>
      <c r="AN1" s="1" t="inlineStr">
        <is>
          <t>2025-12-08</t>
        </is>
      </c>
      <c r="AO1" s="1" t="inlineStr">
        <is>
          <t>2025-12-15</t>
        </is>
      </c>
      <c r="AP1" s="1" t="inlineStr">
        <is>
          <t>2025-12-15</t>
        </is>
      </c>
      <c r="AQ1" s="1" t="inlineStr">
        <is>
          <t>2025-12-18</t>
        </is>
      </c>
      <c r="AR1" s="1" t="inlineStr">
        <is>
          <t>2025-12-22</t>
        </is>
      </c>
      <c r="AS1" s="1" t="inlineStr">
        <is>
          <t>2025-12-31</t>
        </is>
      </c>
      <c r="AT1" s="1" t="inlineStr">
        <is>
          <t>2025-12-31</t>
        </is>
      </c>
      <c r="AU1" s="1" t="inlineStr">
        <is>
          <t>2025-12-31</t>
        </is>
      </c>
      <c r="AV1" s="1" t="inlineStr">
        <is>
          <t>2026-01-20</t>
        </is>
      </c>
      <c r="AW1" s="1" t="inlineStr">
        <is>
          <t>2026-01-28</t>
        </is>
      </c>
      <c r="AX1" s="1" t="inlineStr">
        <is>
          <t>2026-01-29</t>
        </is>
      </c>
      <c r="AY1" s="1" t="inlineStr">
        <is>
          <t>2026-03-17</t>
        </is>
      </c>
      <c r="AZ1" s="1" t="inlineStr">
        <is>
          <t>Invoice #</t>
        </is>
      </c>
      <c r="BA1" s="1" t="inlineStr">
        <is>
          <t>Total Delivered</t>
        </is>
      </c>
      <c r="BB1" s="1" t="inlineStr">
        <is>
          <t>Delivered LF</t>
        </is>
      </c>
      <c r="BC1" s="1" t="inlineStr">
        <is>
          <t>Delivered BF/SF</t>
        </is>
      </c>
      <c r="BD1" s="1" t="inlineStr">
        <is>
          <t>Delivered Cost</t>
        </is>
      </c>
      <c r="BE1" s="1" t="inlineStr">
        <is>
          <t>Delivered Cost+Tax</t>
        </is>
      </c>
      <c r="BF1" s="1" t="inlineStr">
        <is>
          <t>Remaining Qty</t>
        </is>
      </c>
      <c r="BG1" s="1" t="inlineStr">
        <is>
          <t>Remaining LF</t>
        </is>
      </c>
      <c r="BH1" s="1" t="inlineStr">
        <is>
          <t>Remaining BF/SF</t>
        </is>
      </c>
      <c r="BI1" s="1" t="inlineStr">
        <is>
          <t>Remaining Cost</t>
        </is>
      </c>
      <c r="BJ1" s="1" t="inlineStr">
        <is>
          <t>Remaining Cost+Tax</t>
        </is>
      </c>
      <c r="BK1" s="1" t="inlineStr">
        <is>
          <t>Leftover LF (Site)</t>
        </is>
      </c>
      <c r="BL1" s="1" t="inlineStr">
        <is>
          <t>Material Used LF</t>
        </is>
      </c>
      <c r="BM1" s="1" t="inlineStr">
        <is>
          <t>Material Used Cost</t>
        </is>
      </c>
    </row>
    <row r="2">
      <c r="A2" s="2" t="inlineStr">
        <is>
          <t>Lumber</t>
        </is>
      </c>
      <c r="B2" s="3" t="inlineStr">
        <is>
          <t>6 x 6 10 PT</t>
        </is>
      </c>
      <c r="C2" s="2" t="n">
        <v>6</v>
      </c>
      <c r="D2" s="2" t="n">
        <v>6</v>
      </c>
      <c r="E2" s="2" t="n">
        <v>10</v>
      </c>
      <c r="F2" s="4" t="n">
        <v>5</v>
      </c>
      <c r="G2" s="4" t="n">
        <v>0</v>
      </c>
      <c r="H2" s="4">
        <f>F2+G2</f>
        <v/>
      </c>
      <c r="I2" s="5" t="n">
        <v>1145</v>
      </c>
      <c r="J2" s="5">
        <f>H2*10.0</f>
        <v/>
      </c>
      <c r="K2" s="5">
        <f>(H2*6.0*6.0*10.0)/12</f>
        <v/>
      </c>
      <c r="L2" s="6">
        <f>(K2*I2)/1000</f>
        <v/>
      </c>
      <c r="M2" s="6">
        <f>L2*1.06</f>
        <v/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12</v>
      </c>
      <c r="Z2" s="4" t="n">
        <v>0</v>
      </c>
      <c r="AA2" s="4" t="n">
        <v>12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2" t="inlineStr">
        <is>
          <t>60126012
60126014</t>
        </is>
      </c>
      <c r="BA2" s="4">
        <f>SUM(N2:AY2)</f>
        <v/>
      </c>
      <c r="BB2" s="5">
        <f>BA2*10.0</f>
        <v/>
      </c>
      <c r="BC2" s="5">
        <f>(BA2*6.0*6.0*10.0)/12</f>
        <v/>
      </c>
      <c r="BD2" s="6">
        <f>(BC2*I2)/1000</f>
        <v/>
      </c>
      <c r="BE2" s="6">
        <f>BD2*1.06</f>
        <v/>
      </c>
      <c r="BF2" s="4">
        <f>H2-BA2</f>
        <v/>
      </c>
      <c r="BG2" s="5">
        <f>BF2*10.0</f>
        <v/>
      </c>
      <c r="BH2" s="5">
        <f>(BF2*6.0*6.0*10.0)/12</f>
        <v/>
      </c>
      <c r="BI2" s="6">
        <f>(BH2*I2)/1000</f>
        <v/>
      </c>
      <c r="BJ2" s="6">
        <f>BI2*1.06</f>
        <v/>
      </c>
      <c r="BK2" s="5" t="n">
        <v>0</v>
      </c>
      <c r="BL2" s="5">
        <f>BB2-BK2</f>
        <v/>
      </c>
      <c r="BM2" s="6">
        <f>((BL2*6.0*6.0)/12*I2)/1000</f>
        <v/>
      </c>
    </row>
    <row r="3">
      <c r="A3" s="2" t="inlineStr">
        <is>
          <t>Lumber</t>
        </is>
      </c>
      <c r="B3" s="3" t="inlineStr">
        <is>
          <t>2 x 4 1 PT</t>
        </is>
      </c>
      <c r="C3" s="2" t="n">
        <v>2</v>
      </c>
      <c r="D3" s="2" t="n">
        <v>4</v>
      </c>
      <c r="E3" s="2" t="n">
        <v>1</v>
      </c>
      <c r="F3" s="4" t="n">
        <v>2922</v>
      </c>
      <c r="G3" s="4" t="n">
        <v>0</v>
      </c>
      <c r="H3" s="4">
        <f>F3+G3</f>
        <v/>
      </c>
      <c r="I3" s="5" t="n">
        <v>785</v>
      </c>
      <c r="J3" s="5">
        <f>H3*1.0</f>
        <v/>
      </c>
      <c r="K3" s="5">
        <f>(H3*2.0*4.0*1.0)/12</f>
        <v/>
      </c>
      <c r="L3" s="6">
        <f>(K3*I3)/1000</f>
        <v/>
      </c>
      <c r="M3" s="6">
        <f>L3*1.06</f>
        <v/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2496</v>
      </c>
      <c r="Z3" s="4" t="n">
        <v>0</v>
      </c>
      <c r="AA3" s="4" t="n">
        <v>2496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2496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2912</v>
      </c>
      <c r="AW3" s="4" t="n">
        <v>0</v>
      </c>
      <c r="AX3" s="4" t="n">
        <v>0</v>
      </c>
      <c r="AY3" s="4" t="n">
        <v>0</v>
      </c>
      <c r="AZ3" s="2" t="inlineStr">
        <is>
          <t>60126012
60126014
60126021
60126038</t>
        </is>
      </c>
      <c r="BA3" s="4">
        <f>SUM(N3:AY3)</f>
        <v/>
      </c>
      <c r="BB3" s="5">
        <f>BA3</f>
        <v/>
      </c>
      <c r="BC3" s="5">
        <f>(BA3*2.0*4.0)/12</f>
        <v/>
      </c>
      <c r="BD3" s="6">
        <f>(BC3*I3)/1000</f>
        <v/>
      </c>
      <c r="BE3" s="6">
        <f>BD3*1.06</f>
        <v/>
      </c>
      <c r="BF3" s="4">
        <f>J3-BB3</f>
        <v/>
      </c>
      <c r="BG3" s="5">
        <f>BF3</f>
        <v/>
      </c>
      <c r="BH3" s="5">
        <f>(BF3*2.0*4.0)/12</f>
        <v/>
      </c>
      <c r="BI3" s="6">
        <f>(BH3*I3)/1000</f>
        <v/>
      </c>
      <c r="BJ3" s="6">
        <f>BI3*1.06</f>
        <v/>
      </c>
      <c r="BK3" s="5" t="n">
        <v>0</v>
      </c>
      <c r="BL3" s="5">
        <f>BB3-BK3</f>
        <v/>
      </c>
      <c r="BM3" s="6">
        <f>((BL3*2.0*4.0)/12*I3)/1000</f>
        <v/>
      </c>
    </row>
    <row r="4">
      <c r="A4" s="2" t="inlineStr">
        <is>
          <t>Lumber</t>
        </is>
      </c>
      <c r="B4" s="3" t="inlineStr">
        <is>
          <t>2 x 4 10 PT</t>
        </is>
      </c>
      <c r="C4" s="2" t="n">
        <v>2</v>
      </c>
      <c r="D4" s="2" t="n">
        <v>4</v>
      </c>
      <c r="E4" s="2" t="n">
        <v>10</v>
      </c>
      <c r="F4" s="4" t="n">
        <v>5</v>
      </c>
      <c r="G4" s="4" t="n">
        <v>0</v>
      </c>
      <c r="H4" s="4">
        <f>F4+G4</f>
        <v/>
      </c>
      <c r="I4" s="5" t="n">
        <v>785</v>
      </c>
      <c r="J4" s="5">
        <f>H4*10.0</f>
        <v/>
      </c>
      <c r="K4" s="5">
        <f>(H4*2.0*4.0*10.0)/12</f>
        <v/>
      </c>
      <c r="L4" s="6">
        <f>(K4*I4)/1000</f>
        <v/>
      </c>
      <c r="M4" s="6">
        <f>L4*1.06</f>
        <v/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2" t="inlineStr"/>
      <c r="BA4" s="4">
        <f>SUM(N4:AY4)</f>
        <v/>
      </c>
      <c r="BB4" s="5">
        <f>BA4*10.0</f>
        <v/>
      </c>
      <c r="BC4" s="5">
        <f>(BA4*2.0*4.0*10.0)/12</f>
        <v/>
      </c>
      <c r="BD4" s="6">
        <f>(BC4*I4)/1000</f>
        <v/>
      </c>
      <c r="BE4" s="6">
        <f>BD4*1.06</f>
        <v/>
      </c>
      <c r="BF4" s="4">
        <f>H4-BA4</f>
        <v/>
      </c>
      <c r="BG4" s="5">
        <f>BF4*10.0</f>
        <v/>
      </c>
      <c r="BH4" s="5">
        <f>(BF4*2.0*4.0*10.0)/12</f>
        <v/>
      </c>
      <c r="BI4" s="6">
        <f>(BH4*I4)/1000</f>
        <v/>
      </c>
      <c r="BJ4" s="6">
        <f>BI4*1.06</f>
        <v/>
      </c>
      <c r="BK4" s="5" t="n">
        <v>0</v>
      </c>
      <c r="BL4" s="5">
        <f>BB4-BK4</f>
        <v/>
      </c>
      <c r="BM4" s="6">
        <f>((BL4*2.0*4.0)/12*I4)/1000</f>
        <v/>
      </c>
    </row>
    <row r="5">
      <c r="A5" s="2" t="inlineStr">
        <is>
          <t>Lumber</t>
        </is>
      </c>
      <c r="B5" s="3" t="inlineStr">
        <is>
          <t>2 x 6 1 PT</t>
        </is>
      </c>
      <c r="C5" s="2" t="n">
        <v>2</v>
      </c>
      <c r="D5" s="2" t="n">
        <v>6</v>
      </c>
      <c r="E5" s="2" t="n">
        <v>1</v>
      </c>
      <c r="F5" s="4" t="n">
        <v>2846</v>
      </c>
      <c r="G5" s="4" t="n">
        <v>0</v>
      </c>
      <c r="H5" s="4">
        <f>F5+G5</f>
        <v/>
      </c>
      <c r="I5" s="5" t="n">
        <v>785</v>
      </c>
      <c r="J5" s="5">
        <f>H5*1.0</f>
        <v/>
      </c>
      <c r="K5" s="5">
        <f>(H5*2.0*6.0*1.0)/12</f>
        <v/>
      </c>
      <c r="L5" s="6">
        <f>(K5*I5)/1000</f>
        <v/>
      </c>
      <c r="M5" s="6">
        <f>L5*1.06</f>
        <v/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1536</v>
      </c>
      <c r="Z5" s="4" t="n">
        <v>0</v>
      </c>
      <c r="AA5" s="4" t="n">
        <v>1536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1536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2" t="inlineStr">
        <is>
          <t>60126012
60126014
60126021</t>
        </is>
      </c>
      <c r="BA5" s="4">
        <f>SUM(N5:AY5)</f>
        <v/>
      </c>
      <c r="BB5" s="5">
        <f>BA5</f>
        <v/>
      </c>
      <c r="BC5" s="5">
        <f>(BA5*2.0*6.0)/12</f>
        <v/>
      </c>
      <c r="BD5" s="6">
        <f>(BC5*I5)/1000</f>
        <v/>
      </c>
      <c r="BE5" s="6">
        <f>BD5*1.06</f>
        <v/>
      </c>
      <c r="BF5" s="4">
        <f>J5-BB5</f>
        <v/>
      </c>
      <c r="BG5" s="5">
        <f>BF5</f>
        <v/>
      </c>
      <c r="BH5" s="5">
        <f>(BF5*2.0*6.0)/12</f>
        <v/>
      </c>
      <c r="BI5" s="6">
        <f>(BH5*I5)/1000</f>
        <v/>
      </c>
      <c r="BJ5" s="6">
        <f>BI5*1.06</f>
        <v/>
      </c>
      <c r="BK5" s="5" t="n">
        <v>0</v>
      </c>
      <c r="BL5" s="5">
        <f>BB5-BK5</f>
        <v/>
      </c>
      <c r="BM5" s="6">
        <f>((BL5*2.0*6.0)/12*I5)/1000</f>
        <v/>
      </c>
    </row>
    <row r="6">
      <c r="A6" s="2" t="inlineStr">
        <is>
          <t>Lumber</t>
        </is>
      </c>
      <c r="B6" s="3" t="inlineStr">
        <is>
          <t>2 x 8 1 PT</t>
        </is>
      </c>
      <c r="C6" s="2" t="n">
        <v>2</v>
      </c>
      <c r="D6" s="2" t="n">
        <v>8</v>
      </c>
      <c r="E6" s="2" t="n">
        <v>1</v>
      </c>
      <c r="F6" s="4" t="n">
        <v>378</v>
      </c>
      <c r="G6" s="4" t="n">
        <v>4032</v>
      </c>
      <c r="H6" s="4">
        <f>F6+G6</f>
        <v/>
      </c>
      <c r="I6" s="5" t="n">
        <v>815</v>
      </c>
      <c r="J6" s="5">
        <f>H6*1.0</f>
        <v/>
      </c>
      <c r="K6" s="5">
        <f>(H6*2.0*8.0*1.0)/12</f>
        <v/>
      </c>
      <c r="L6" s="6">
        <f>(K6*I6)/1000</f>
        <v/>
      </c>
      <c r="M6" s="6">
        <f>L6*1.06</f>
        <v/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384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4032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2" t="inlineStr">
        <is>
          <t>60126020
60126033</t>
        </is>
      </c>
      <c r="BA6" s="4">
        <f>SUM(N6:AY6)</f>
        <v/>
      </c>
      <c r="BB6" s="5">
        <f>BA6</f>
        <v/>
      </c>
      <c r="BC6" s="5">
        <f>(BA6*2.0*8.0)/12</f>
        <v/>
      </c>
      <c r="BD6" s="6">
        <f>(BC6*I6)/1000</f>
        <v/>
      </c>
      <c r="BE6" s="6">
        <f>BD6*1.06</f>
        <v/>
      </c>
      <c r="BF6" s="4">
        <f>J6-BB6</f>
        <v/>
      </c>
      <c r="BG6" s="5">
        <f>BF6</f>
        <v/>
      </c>
      <c r="BH6" s="5">
        <f>(BF6*2.0*8.0)/12</f>
        <v/>
      </c>
      <c r="BI6" s="6">
        <f>(BH6*I6)/1000</f>
        <v/>
      </c>
      <c r="BJ6" s="6">
        <f>BI6*1.06</f>
        <v/>
      </c>
      <c r="BK6" s="5" t="n">
        <v>0</v>
      </c>
      <c r="BL6" s="5">
        <f>BB6-BK6</f>
        <v/>
      </c>
      <c r="BM6" s="6">
        <f>((BL6*2.0*8.0)/12*I6)/1000</f>
        <v/>
      </c>
    </row>
    <row r="7">
      <c r="A7" s="2" t="inlineStr">
        <is>
          <t>Lumber</t>
        </is>
      </c>
      <c r="B7" s="3" t="inlineStr">
        <is>
          <t>2 x 4 1 SYP #2</t>
        </is>
      </c>
      <c r="C7" s="2" t="n">
        <v>2</v>
      </c>
      <c r="D7" s="2" t="n">
        <v>4</v>
      </c>
      <c r="E7" s="2" t="n">
        <v>1</v>
      </c>
      <c r="F7" s="4" t="n">
        <v>51980</v>
      </c>
      <c r="G7" s="4" t="n">
        <v>25376</v>
      </c>
      <c r="H7" s="4">
        <f>F7+G7</f>
        <v/>
      </c>
      <c r="I7" s="5" t="n">
        <v>515</v>
      </c>
      <c r="J7" s="5">
        <f>H7*1.0</f>
        <v/>
      </c>
      <c r="K7" s="5">
        <f>(H7*2.0*4.0*1.0)/12</f>
        <v/>
      </c>
      <c r="L7" s="6">
        <f>(K7*I7)/1000</f>
        <v/>
      </c>
      <c r="M7" s="6">
        <f>L7*1.06</f>
        <v/>
      </c>
      <c r="N7" s="4" t="n">
        <v>0</v>
      </c>
      <c r="O7" s="4" t="n">
        <v>0</v>
      </c>
      <c r="P7" s="4" t="n">
        <v>0</v>
      </c>
      <c r="Q7" s="4" t="n">
        <v>34944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2" t="inlineStr">
        <is>
          <t>60126004</t>
        </is>
      </c>
      <c r="BA7" s="4">
        <f>SUM(N7:AY7)</f>
        <v/>
      </c>
      <c r="BB7" s="5">
        <f>BA7</f>
        <v/>
      </c>
      <c r="BC7" s="5">
        <f>(BA7*2.0*4.0)/12</f>
        <v/>
      </c>
      <c r="BD7" s="6">
        <f>(BC7*I7)/1000</f>
        <v/>
      </c>
      <c r="BE7" s="6">
        <f>BD7*1.06</f>
        <v/>
      </c>
      <c r="BF7" s="4">
        <f>J7-BB7</f>
        <v/>
      </c>
      <c r="BG7" s="5">
        <f>BF7</f>
        <v/>
      </c>
      <c r="BH7" s="5">
        <f>(BF7*2.0*4.0)/12</f>
        <v/>
      </c>
      <c r="BI7" s="6">
        <f>(BH7*I7)/1000</f>
        <v/>
      </c>
      <c r="BJ7" s="6">
        <f>BI7*1.06</f>
        <v/>
      </c>
      <c r="BK7" s="5" t="n">
        <v>0</v>
      </c>
      <c r="BL7" s="5">
        <f>BB7-BK7</f>
        <v/>
      </c>
      <c r="BM7" s="6">
        <f>((BL7*2.0*4.0)/12*I7)/1000</f>
        <v/>
      </c>
    </row>
    <row r="8">
      <c r="A8" s="2" t="inlineStr">
        <is>
          <t>Lumber</t>
        </is>
      </c>
      <c r="B8" s="3" t="inlineStr">
        <is>
          <t>2 x 4 1 SYP #2</t>
        </is>
      </c>
      <c r="C8" s="2" t="n">
        <v>2</v>
      </c>
      <c r="D8" s="2" t="n">
        <v>4</v>
      </c>
      <c r="E8" s="2" t="n">
        <v>1</v>
      </c>
      <c r="F8" s="4" t="n">
        <v>1175</v>
      </c>
      <c r="G8" s="4" t="n">
        <v>0</v>
      </c>
      <c r="H8" s="4">
        <f>F8+G8</f>
        <v/>
      </c>
      <c r="I8" s="5" t="n">
        <v>515</v>
      </c>
      <c r="J8" s="5">
        <f>H8*1.0</f>
        <v/>
      </c>
      <c r="K8" s="5">
        <f>(H8*2.0*4.0*1.0)/12</f>
        <v/>
      </c>
      <c r="L8" s="6">
        <f>(K8*I8)/1000</f>
        <v/>
      </c>
      <c r="M8" s="6">
        <f>L8*1.06</f>
        <v/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2" t="inlineStr"/>
      <c r="BA8" s="4">
        <f>SUM(N8:AY8)</f>
        <v/>
      </c>
      <c r="BB8" s="5">
        <f>BA8</f>
        <v/>
      </c>
      <c r="BC8" s="5">
        <f>(BA8*2.0*4.0)/12</f>
        <v/>
      </c>
      <c r="BD8" s="6">
        <f>(BC8*I8)/1000</f>
        <v/>
      </c>
      <c r="BE8" s="6">
        <f>BD8*1.06</f>
        <v/>
      </c>
      <c r="BF8" s="4">
        <f>J8-BB8</f>
        <v/>
      </c>
      <c r="BG8" s="5">
        <f>BF8</f>
        <v/>
      </c>
      <c r="BH8" s="5">
        <f>(BF8*2.0*4.0)/12</f>
        <v/>
      </c>
      <c r="BI8" s="6">
        <f>(BH8*I8)/1000</f>
        <v/>
      </c>
      <c r="BJ8" s="6">
        <f>BI8*1.06</f>
        <v/>
      </c>
      <c r="BK8" s="5" t="n">
        <v>0</v>
      </c>
      <c r="BL8" s="5">
        <f>BB8-BK8</f>
        <v/>
      </c>
      <c r="BM8" s="6">
        <f>((BL8*2.0*4.0)/12*I8)/1000</f>
        <v/>
      </c>
    </row>
    <row r="9">
      <c r="A9" s="2" t="inlineStr">
        <is>
          <t>Lumber</t>
        </is>
      </c>
      <c r="B9" s="3" t="inlineStr">
        <is>
          <t>2 x 4 12 SYP #2</t>
        </is>
      </c>
      <c r="C9" s="2" t="n">
        <v>2</v>
      </c>
      <c r="D9" s="2" t="n">
        <v>4</v>
      </c>
      <c r="E9" s="2" t="n">
        <v>12</v>
      </c>
      <c r="F9" s="4" t="n">
        <v>478</v>
      </c>
      <c r="G9" s="4" t="n">
        <v>0</v>
      </c>
      <c r="H9" s="4">
        <f>F9+G9</f>
        <v/>
      </c>
      <c r="I9" s="5" t="n">
        <v>515</v>
      </c>
      <c r="J9" s="5">
        <f>H9*12.0</f>
        <v/>
      </c>
      <c r="K9" s="5">
        <f>(H9*2.0*4.0*12.0)/12</f>
        <v/>
      </c>
      <c r="L9" s="6">
        <f>(K9*I9)/1000</f>
        <v/>
      </c>
      <c r="M9" s="6">
        <f>L9*1.06</f>
        <v/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3120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832</v>
      </c>
      <c r="AR9" s="4" t="n">
        <v>0</v>
      </c>
      <c r="AS9" s="4" t="n">
        <v>0</v>
      </c>
      <c r="AT9" s="4" t="n">
        <v>0</v>
      </c>
      <c r="AU9" s="4" t="n">
        <v>208</v>
      </c>
      <c r="AV9" s="4" t="n">
        <v>0</v>
      </c>
      <c r="AW9" s="4" t="n">
        <v>624</v>
      </c>
      <c r="AX9" s="4" t="n">
        <v>0</v>
      </c>
      <c r="AY9" s="4" t="n">
        <v>208</v>
      </c>
      <c r="AZ9" s="2" t="inlineStr">
        <is>
          <t>60126019
60126031
60126036
60126039
60126043</t>
        </is>
      </c>
      <c r="BA9" s="4">
        <f>SUM(N9:AY9)</f>
        <v/>
      </c>
      <c r="BB9" s="5">
        <f>BA9*12.0</f>
        <v/>
      </c>
      <c r="BC9" s="5">
        <f>(BA9*2.0*4.0*12.0)/12</f>
        <v/>
      </c>
      <c r="BD9" s="6">
        <f>(BC9*I9)/1000</f>
        <v/>
      </c>
      <c r="BE9" s="6">
        <f>BD9*1.06</f>
        <v/>
      </c>
      <c r="BF9" s="4">
        <f>H9-BA9</f>
        <v/>
      </c>
      <c r="BG9" s="5">
        <f>BF9*12.0</f>
        <v/>
      </c>
      <c r="BH9" s="5">
        <f>(BF9*2.0*4.0*12.0)/12</f>
        <v/>
      </c>
      <c r="BI9" s="6">
        <f>(BH9*I9)/1000</f>
        <v/>
      </c>
      <c r="BJ9" s="6">
        <f>BI9*1.06</f>
        <v/>
      </c>
      <c r="BK9" s="5" t="n">
        <v>0</v>
      </c>
      <c r="BL9" s="5">
        <f>BB9-BK9</f>
        <v/>
      </c>
      <c r="BM9" s="6">
        <f>((BL9*2.0*4.0)/12*I9)/1000</f>
        <v/>
      </c>
    </row>
    <row r="10">
      <c r="A10" s="2" t="inlineStr">
        <is>
          <t>Lumber</t>
        </is>
      </c>
      <c r="B10" s="3" t="inlineStr">
        <is>
          <t>2 x 4 8 SYP #2</t>
        </is>
      </c>
      <c r="C10" s="2" t="n">
        <v>2</v>
      </c>
      <c r="D10" s="2" t="n">
        <v>4</v>
      </c>
      <c r="E10" s="2" t="n">
        <v>8</v>
      </c>
      <c r="F10" s="4" t="n">
        <v>26</v>
      </c>
      <c r="G10" s="4" t="n">
        <v>0</v>
      </c>
      <c r="H10" s="4">
        <f>F10+G10</f>
        <v/>
      </c>
      <c r="I10" s="5" t="n">
        <v>515</v>
      </c>
      <c r="J10" s="5">
        <f>H10*8.0</f>
        <v/>
      </c>
      <c r="K10" s="5">
        <f>(H10*2.0*4.0*8.0)/12</f>
        <v/>
      </c>
      <c r="L10" s="6">
        <f>(K10*I10)/1000</f>
        <v/>
      </c>
      <c r="M10" s="6">
        <f>L10*1.06</f>
        <v/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2" t="inlineStr"/>
      <c r="BA10" s="4">
        <f>SUM(N10:AY10)</f>
        <v/>
      </c>
      <c r="BB10" s="5">
        <f>BA10*8.0</f>
        <v/>
      </c>
      <c r="BC10" s="5">
        <f>(BA10*2.0*4.0*8.0)/12</f>
        <v/>
      </c>
      <c r="BD10" s="6">
        <f>(BC10*I10)/1000</f>
        <v/>
      </c>
      <c r="BE10" s="6">
        <f>BD10*1.06</f>
        <v/>
      </c>
      <c r="BF10" s="4">
        <f>H10-BA10</f>
        <v/>
      </c>
      <c r="BG10" s="5">
        <f>BF10*8.0</f>
        <v/>
      </c>
      <c r="BH10" s="5">
        <f>(BF10*2.0*4.0*8.0)/12</f>
        <v/>
      </c>
      <c r="BI10" s="6">
        <f>(BH10*I10)/1000</f>
        <v/>
      </c>
      <c r="BJ10" s="6">
        <f>BI10*1.06</f>
        <v/>
      </c>
      <c r="BK10" s="5" t="n">
        <v>0</v>
      </c>
      <c r="BL10" s="5">
        <f>BB10-BK10</f>
        <v/>
      </c>
      <c r="BM10" s="6">
        <f>((BL10*2.0*4.0)/12*I10)/1000</f>
        <v/>
      </c>
    </row>
    <row r="11">
      <c r="A11" s="2" t="inlineStr">
        <is>
          <t>Lumber</t>
        </is>
      </c>
      <c r="B11" s="3" t="inlineStr">
        <is>
          <t>2 x 4 9 SYP #2 PET 104-5/8</t>
        </is>
      </c>
      <c r="C11" s="2" t="n">
        <v>2</v>
      </c>
      <c r="D11" s="2" t="n">
        <v>4</v>
      </c>
      <c r="E11" s="2" t="n">
        <v>9</v>
      </c>
      <c r="F11" s="4" t="n">
        <v>7116</v>
      </c>
      <c r="G11" s="4" t="n">
        <v>0</v>
      </c>
      <c r="H11" s="4">
        <f>F11+G11</f>
        <v/>
      </c>
      <c r="I11" s="5" t="n">
        <v>525</v>
      </c>
      <c r="J11" s="5">
        <f>H11*9.0</f>
        <v/>
      </c>
      <c r="K11" s="5">
        <f>(H11*2.0*4.0*9.0)/12</f>
        <v/>
      </c>
      <c r="L11" s="6">
        <f>(K11*I11)/1000</f>
        <v/>
      </c>
      <c r="M11" s="6">
        <f>L11*1.06</f>
        <v/>
      </c>
      <c r="N11" s="4" t="n">
        <v>4160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4160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2" t="inlineStr">
        <is>
          <t>60126001
60126016</t>
        </is>
      </c>
      <c r="BA11" s="4">
        <f>SUM(N11:AY11)</f>
        <v/>
      </c>
      <c r="BB11" s="5">
        <f>BA11*9.0</f>
        <v/>
      </c>
      <c r="BC11" s="5">
        <f>(BA11*2.0*4.0*9.0)/12</f>
        <v/>
      </c>
      <c r="BD11" s="6">
        <f>(BC11*I11)/1000</f>
        <v/>
      </c>
      <c r="BE11" s="6">
        <f>BD11*1.06</f>
        <v/>
      </c>
      <c r="BF11" s="4">
        <f>H11-BA11</f>
        <v/>
      </c>
      <c r="BG11" s="5">
        <f>BF11*9.0</f>
        <v/>
      </c>
      <c r="BH11" s="5">
        <f>(BF11*2.0*4.0*9.0)/12</f>
        <v/>
      </c>
      <c r="BI11" s="6">
        <f>(BH11*I11)/1000</f>
        <v/>
      </c>
      <c r="BJ11" s="6">
        <f>BI11*1.06</f>
        <v/>
      </c>
      <c r="BK11" s="5" t="n">
        <v>0</v>
      </c>
      <c r="BL11" s="5">
        <f>BB11-BK11</f>
        <v/>
      </c>
      <c r="BM11" s="6">
        <f>((BL11*2.0*4.0)/12*I11)/1000</f>
        <v/>
      </c>
    </row>
    <row r="12">
      <c r="A12" s="2" t="inlineStr">
        <is>
          <t>Lumber</t>
        </is>
      </c>
      <c r="B12" s="3" t="inlineStr">
        <is>
          <t>2 x 4 12 SYP #2</t>
        </is>
      </c>
      <c r="C12" s="2" t="n">
        <v>2</v>
      </c>
      <c r="D12" s="2" t="n">
        <v>4</v>
      </c>
      <c r="E12" s="2" t="n">
        <v>12</v>
      </c>
      <c r="F12" s="4" t="n">
        <v>353</v>
      </c>
      <c r="G12" s="4" t="n">
        <v>0</v>
      </c>
      <c r="H12" s="4">
        <f>F12+G12</f>
        <v/>
      </c>
      <c r="I12" s="5" t="n">
        <v>515</v>
      </c>
      <c r="J12" s="5">
        <f>H12*12.0</f>
        <v/>
      </c>
      <c r="K12" s="5">
        <f>(H12*2.0*4.0*12.0)/12</f>
        <v/>
      </c>
      <c r="L12" s="6">
        <f>(K12*I12)/1000</f>
        <v/>
      </c>
      <c r="M12" s="6">
        <f>L12*1.06</f>
        <v/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2" t="inlineStr"/>
      <c r="BA12" s="4">
        <f>SUM(N12:AY12)</f>
        <v/>
      </c>
      <c r="BB12" s="5">
        <f>BA12*12.0</f>
        <v/>
      </c>
      <c r="BC12" s="5">
        <f>(BA12*2.0*4.0*12.0)/12</f>
        <v/>
      </c>
      <c r="BD12" s="6">
        <f>(BC12*I12)/1000</f>
        <v/>
      </c>
      <c r="BE12" s="6">
        <f>BD12*1.06</f>
        <v/>
      </c>
      <c r="BF12" s="4">
        <f>H12-BA12</f>
        <v/>
      </c>
      <c r="BG12" s="5">
        <f>BF12*12.0</f>
        <v/>
      </c>
      <c r="BH12" s="5">
        <f>(BF12*2.0*4.0*12.0)/12</f>
        <v/>
      </c>
      <c r="BI12" s="6">
        <f>(BH12*I12)/1000</f>
        <v/>
      </c>
      <c r="BJ12" s="6">
        <f>BI12*1.06</f>
        <v/>
      </c>
      <c r="BK12" s="5" t="n">
        <v>0</v>
      </c>
      <c r="BL12" s="5">
        <f>BB12-BK12</f>
        <v/>
      </c>
      <c r="BM12" s="6">
        <f>((BL12*2.0*4.0)/12*I12)/1000</f>
        <v/>
      </c>
    </row>
    <row r="13">
      <c r="A13" s="2" t="inlineStr">
        <is>
          <t>Lumber</t>
        </is>
      </c>
      <c r="B13" s="3" t="inlineStr">
        <is>
          <t>2 x 4 14 SYP #2</t>
        </is>
      </c>
      <c r="C13" s="2" t="n">
        <v>2</v>
      </c>
      <c r="D13" s="2" t="n">
        <v>4</v>
      </c>
      <c r="E13" s="2" t="n">
        <v>14</v>
      </c>
      <c r="F13" s="4" t="n">
        <v>158</v>
      </c>
      <c r="G13" s="4" t="n">
        <v>0</v>
      </c>
      <c r="H13" s="4">
        <f>F13+G13</f>
        <v/>
      </c>
      <c r="I13" s="5" t="n">
        <v>515</v>
      </c>
      <c r="J13" s="5">
        <f>H13*14.0</f>
        <v/>
      </c>
      <c r="K13" s="5">
        <f>(H13*2.0*4.0*14.0)/12</f>
        <v/>
      </c>
      <c r="L13" s="6">
        <f>(K13*I13)/1000</f>
        <v/>
      </c>
      <c r="M13" s="6">
        <f>L13*1.06</f>
        <v/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208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2" t="inlineStr">
        <is>
          <t>60126028</t>
        </is>
      </c>
      <c r="BA13" s="4">
        <f>SUM(N13:AY13)</f>
        <v/>
      </c>
      <c r="BB13" s="5">
        <f>BA13*14.0</f>
        <v/>
      </c>
      <c r="BC13" s="5">
        <f>(BA13*2.0*4.0*14.0)/12</f>
        <v/>
      </c>
      <c r="BD13" s="6">
        <f>(BC13*I13)/1000</f>
        <v/>
      </c>
      <c r="BE13" s="6">
        <f>BD13*1.06</f>
        <v/>
      </c>
      <c r="BF13" s="4">
        <f>H13-BA13</f>
        <v/>
      </c>
      <c r="BG13" s="5">
        <f>BF13*14.0</f>
        <v/>
      </c>
      <c r="BH13" s="5">
        <f>(BF13*2.0*4.0*14.0)/12</f>
        <v/>
      </c>
      <c r="BI13" s="6">
        <f>(BH13*I13)/1000</f>
        <v/>
      </c>
      <c r="BJ13" s="6">
        <f>BI13*1.06</f>
        <v/>
      </c>
      <c r="BK13" s="5" t="n">
        <v>0</v>
      </c>
      <c r="BL13" s="5">
        <f>BB13-BK13</f>
        <v/>
      </c>
      <c r="BM13" s="6">
        <f>((BL13*2.0*4.0)/12*I13)/1000</f>
        <v/>
      </c>
    </row>
    <row r="14">
      <c r="A14" s="2" t="inlineStr">
        <is>
          <t>Lumber</t>
        </is>
      </c>
      <c r="B14" s="3" t="inlineStr">
        <is>
          <t>2 x 4 16 SYP #2</t>
        </is>
      </c>
      <c r="C14" s="2" t="n">
        <v>2</v>
      </c>
      <c r="D14" s="2" t="n">
        <v>4</v>
      </c>
      <c r="E14" s="2" t="n">
        <v>16</v>
      </c>
      <c r="F14" s="4" t="n">
        <v>21</v>
      </c>
      <c r="G14" s="4" t="n">
        <v>0</v>
      </c>
      <c r="H14" s="4">
        <f>F14+G14</f>
        <v/>
      </c>
      <c r="I14" s="5" t="n">
        <v>515</v>
      </c>
      <c r="J14" s="5">
        <f>H14*16.0</f>
        <v/>
      </c>
      <c r="K14" s="5">
        <f>(H14*2.0*4.0*16.0)/12</f>
        <v/>
      </c>
      <c r="L14" s="6">
        <f>(K14*I14)/1000</f>
        <v/>
      </c>
      <c r="M14" s="6">
        <f>L14*1.06</f>
        <v/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2" t="inlineStr"/>
      <c r="BA14" s="4">
        <f>SUM(N14:AY14)</f>
        <v/>
      </c>
      <c r="BB14" s="5">
        <f>BA14*16.0</f>
        <v/>
      </c>
      <c r="BC14" s="5">
        <f>(BA14*2.0*4.0*16.0)/12</f>
        <v/>
      </c>
      <c r="BD14" s="6">
        <f>(BC14*I14)/1000</f>
        <v/>
      </c>
      <c r="BE14" s="6">
        <f>BD14*1.06</f>
        <v/>
      </c>
      <c r="BF14" s="4">
        <f>H14-BA14</f>
        <v/>
      </c>
      <c r="BG14" s="5">
        <f>BF14*16.0</f>
        <v/>
      </c>
      <c r="BH14" s="5">
        <f>(BF14*2.0*4.0*16.0)/12</f>
        <v/>
      </c>
      <c r="BI14" s="6">
        <f>(BH14*I14)/1000</f>
        <v/>
      </c>
      <c r="BJ14" s="6">
        <f>BI14*1.06</f>
        <v/>
      </c>
      <c r="BK14" s="5" t="n">
        <v>0</v>
      </c>
      <c r="BL14" s="5">
        <f>BB14-BK14</f>
        <v/>
      </c>
      <c r="BM14" s="6">
        <f>((BL14*2.0*4.0)/12*I14)/1000</f>
        <v/>
      </c>
    </row>
    <row r="15">
      <c r="A15" s="2" t="inlineStr">
        <is>
          <t>Lumber</t>
        </is>
      </c>
      <c r="B15" s="3" t="inlineStr">
        <is>
          <t>2 x 6 1 SYP #2</t>
        </is>
      </c>
      <c r="C15" s="2" t="n">
        <v>2</v>
      </c>
      <c r="D15" s="2" t="n">
        <v>6</v>
      </c>
      <c r="E15" s="2" t="n">
        <v>1</v>
      </c>
      <c r="F15" s="4" t="n">
        <v>37494</v>
      </c>
      <c r="G15" s="4" t="n">
        <v>3748</v>
      </c>
      <c r="H15" s="4">
        <f>F15+G15</f>
        <v/>
      </c>
      <c r="I15" s="5" t="n">
        <v>435</v>
      </c>
      <c r="J15" s="5">
        <f>H15*1.0</f>
        <v/>
      </c>
      <c r="K15" s="5">
        <f>(H15*2.0*6.0*1.0)/12</f>
        <v/>
      </c>
      <c r="L15" s="6">
        <f>(K15*I15)/1000</f>
        <v/>
      </c>
      <c r="M15" s="6">
        <f>L15*1.06</f>
        <v/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2" t="inlineStr"/>
      <c r="BA15" s="4">
        <f>SUM(N15:AY15)</f>
        <v/>
      </c>
      <c r="BB15" s="5">
        <f>BA15</f>
        <v/>
      </c>
      <c r="BC15" s="5">
        <f>(BA15*2.0*6.0)/12</f>
        <v/>
      </c>
      <c r="BD15" s="6">
        <f>(BC15*I15)/1000</f>
        <v/>
      </c>
      <c r="BE15" s="6">
        <f>BD15*1.06</f>
        <v/>
      </c>
      <c r="BF15" s="4">
        <f>J15-BB15</f>
        <v/>
      </c>
      <c r="BG15" s="5">
        <f>BF15</f>
        <v/>
      </c>
      <c r="BH15" s="5">
        <f>(BF15*2.0*6.0)/12</f>
        <v/>
      </c>
      <c r="BI15" s="6">
        <f>(BH15*I15)/1000</f>
        <v/>
      </c>
      <c r="BJ15" s="6">
        <f>BI15*1.06</f>
        <v/>
      </c>
      <c r="BK15" s="5" t="n">
        <v>0</v>
      </c>
      <c r="BL15" s="5">
        <f>BB15-BK15</f>
        <v/>
      </c>
      <c r="BM15" s="6">
        <f>((BL15*2.0*6.0)/12*I15)/1000</f>
        <v/>
      </c>
    </row>
    <row r="16">
      <c r="A16" s="2" t="inlineStr">
        <is>
          <t>Lumber</t>
        </is>
      </c>
      <c r="B16" s="3" t="inlineStr">
        <is>
          <t>2 x 6 12 SYP #2</t>
        </is>
      </c>
      <c r="C16" s="2" t="n">
        <v>2</v>
      </c>
      <c r="D16" s="2" t="n">
        <v>6</v>
      </c>
      <c r="E16" s="2" t="n">
        <v>12</v>
      </c>
      <c r="F16" s="4" t="n">
        <v>94</v>
      </c>
      <c r="G16" s="4" t="n">
        <v>0</v>
      </c>
      <c r="H16" s="4">
        <f>F16+G16</f>
        <v/>
      </c>
      <c r="I16" s="5" t="n">
        <v>435</v>
      </c>
      <c r="J16" s="5">
        <f>H16*12.0</f>
        <v/>
      </c>
      <c r="K16" s="5">
        <f>(H16*2.0*6.0*12.0)/12</f>
        <v/>
      </c>
      <c r="L16" s="6">
        <f>(K16*I16)/1000</f>
        <v/>
      </c>
      <c r="M16" s="6">
        <f>L16*1.06</f>
        <v/>
      </c>
      <c r="N16" s="4" t="n">
        <v>0</v>
      </c>
      <c r="O16" s="4" t="n">
        <v>256</v>
      </c>
      <c r="P16" s="4" t="n">
        <v>0</v>
      </c>
      <c r="Q16" s="4" t="n">
        <v>0</v>
      </c>
      <c r="R16" s="4" t="n">
        <v>1920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1792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768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2" t="inlineStr">
        <is>
          <t>60126002
60126005
60126018
60126032</t>
        </is>
      </c>
      <c r="BA16" s="4">
        <f>SUM(N16:AY16)</f>
        <v/>
      </c>
      <c r="BB16" s="5">
        <f>BA16*12.0</f>
        <v/>
      </c>
      <c r="BC16" s="5">
        <f>(BA16*2.0*6.0*12.0)/12</f>
        <v/>
      </c>
      <c r="BD16" s="6">
        <f>(BC16*I16)/1000</f>
        <v/>
      </c>
      <c r="BE16" s="6">
        <f>BD16*1.06</f>
        <v/>
      </c>
      <c r="BF16" s="4">
        <f>H16-BA16</f>
        <v/>
      </c>
      <c r="BG16" s="5">
        <f>BF16*12.0</f>
        <v/>
      </c>
      <c r="BH16" s="5">
        <f>(BF16*2.0*6.0*12.0)/12</f>
        <v/>
      </c>
      <c r="BI16" s="6">
        <f>(BH16*I16)/1000</f>
        <v/>
      </c>
      <c r="BJ16" s="6">
        <f>BI16*1.06</f>
        <v/>
      </c>
      <c r="BK16" s="5" t="n">
        <v>0</v>
      </c>
      <c r="BL16" s="5">
        <f>BB16-BK16</f>
        <v/>
      </c>
      <c r="BM16" s="6">
        <f>((BL16*2.0*6.0)/12*I16)/1000</f>
        <v/>
      </c>
    </row>
    <row r="17">
      <c r="A17" s="2" t="inlineStr">
        <is>
          <t>Lumber</t>
        </is>
      </c>
      <c r="B17" s="3" t="inlineStr">
        <is>
          <t>2 x 6 9 SYP #2 PET 104-5/8</t>
        </is>
      </c>
      <c r="C17" s="2" t="n">
        <v>2</v>
      </c>
      <c r="D17" s="2" t="n">
        <v>6</v>
      </c>
      <c r="E17" s="2" t="n">
        <v>9</v>
      </c>
      <c r="F17" s="4" t="n">
        <v>9177</v>
      </c>
      <c r="G17" s="4" t="n">
        <v>1191</v>
      </c>
      <c r="H17" s="4">
        <f>F17+G17</f>
        <v/>
      </c>
      <c r="I17" s="5" t="n">
        <v>525</v>
      </c>
      <c r="J17" s="5">
        <f>H17*9.0</f>
        <v/>
      </c>
      <c r="K17" s="5">
        <f>(H17*2.0*6.0*9.0)/12</f>
        <v/>
      </c>
      <c r="L17" s="6">
        <f>(K17*I17)/1000</f>
        <v/>
      </c>
      <c r="M17" s="6">
        <f>L17*1.06</f>
        <v/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2560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2560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2560</v>
      </c>
      <c r="AM17" s="4" t="n">
        <v>0</v>
      </c>
      <c r="AN17" s="4" t="n">
        <v>0</v>
      </c>
      <c r="AO17" s="4" t="n">
        <v>2048</v>
      </c>
      <c r="AP17" s="4" t="n">
        <v>512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128</v>
      </c>
      <c r="AV17" s="4" t="n">
        <v>0</v>
      </c>
      <c r="AW17" s="4" t="n">
        <v>0</v>
      </c>
      <c r="AX17" s="4" t="n">
        <v>0</v>
      </c>
      <c r="AY17" s="4" t="n">
        <v>0</v>
      </c>
      <c r="AZ17" s="2" t="inlineStr">
        <is>
          <t>60126006
60126017
60126025
60126029
60126030
60126036</t>
        </is>
      </c>
      <c r="BA17" s="4">
        <f>SUM(N17:AY17)</f>
        <v/>
      </c>
      <c r="BB17" s="5">
        <f>BA17*9.0</f>
        <v/>
      </c>
      <c r="BC17" s="5">
        <f>(BA17*2.0*6.0*9.0)/12</f>
        <v/>
      </c>
      <c r="BD17" s="6">
        <f>(BC17*I17)/1000</f>
        <v/>
      </c>
      <c r="BE17" s="6">
        <f>BD17*1.06</f>
        <v/>
      </c>
      <c r="BF17" s="4">
        <f>H17-BA17</f>
        <v/>
      </c>
      <c r="BG17" s="5">
        <f>BF17*9.0</f>
        <v/>
      </c>
      <c r="BH17" s="5">
        <f>(BF17*2.0*6.0*9.0)/12</f>
        <v/>
      </c>
      <c r="BI17" s="6">
        <f>(BH17*I17)/1000</f>
        <v/>
      </c>
      <c r="BJ17" s="6">
        <f>BI17*1.06</f>
        <v/>
      </c>
      <c r="BK17" s="5" t="n">
        <v>0</v>
      </c>
      <c r="BL17" s="5">
        <f>BB17-BK17</f>
        <v/>
      </c>
      <c r="BM17" s="6">
        <f>((BL17*2.0*6.0)/12*I17)/1000</f>
        <v/>
      </c>
    </row>
    <row r="18">
      <c r="A18" s="2" t="inlineStr">
        <is>
          <t>Lumber</t>
        </is>
      </c>
      <c r="B18" s="3" t="inlineStr">
        <is>
          <t>2 x 6 12 SYP #2</t>
        </is>
      </c>
      <c r="C18" s="2" t="n">
        <v>2</v>
      </c>
      <c r="D18" s="2" t="n">
        <v>6</v>
      </c>
      <c r="E18" s="2" t="n">
        <v>12</v>
      </c>
      <c r="F18" s="4" t="n">
        <v>717</v>
      </c>
      <c r="G18" s="4" t="n">
        <v>0</v>
      </c>
      <c r="H18" s="4">
        <f>F18+G18</f>
        <v/>
      </c>
      <c r="I18" s="5" t="n">
        <v>435</v>
      </c>
      <c r="J18" s="5">
        <f>H18*12.0</f>
        <v/>
      </c>
      <c r="K18" s="5">
        <f>(H18*2.0*6.0*12.0)/12</f>
        <v/>
      </c>
      <c r="L18" s="6">
        <f>(K18*I18)/1000</f>
        <v/>
      </c>
      <c r="M18" s="6">
        <f>L18*1.06</f>
        <v/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2" t="inlineStr"/>
      <c r="BA18" s="4">
        <f>SUM(N18:AY18)</f>
        <v/>
      </c>
      <c r="BB18" s="5">
        <f>BA18*12.0</f>
        <v/>
      </c>
      <c r="BC18" s="5">
        <f>(BA18*2.0*6.0*12.0)/12</f>
        <v/>
      </c>
      <c r="BD18" s="6">
        <f>(BC18*I18)/1000</f>
        <v/>
      </c>
      <c r="BE18" s="6">
        <f>BD18*1.06</f>
        <v/>
      </c>
      <c r="BF18" s="4">
        <f>H18-BA18</f>
        <v/>
      </c>
      <c r="BG18" s="5">
        <f>BF18*12.0</f>
        <v/>
      </c>
      <c r="BH18" s="5">
        <f>(BF18*2.0*6.0*12.0)/12</f>
        <v/>
      </c>
      <c r="BI18" s="6">
        <f>(BH18*I18)/1000</f>
        <v/>
      </c>
      <c r="BJ18" s="6">
        <f>BI18*1.06</f>
        <v/>
      </c>
      <c r="BK18" s="5" t="n">
        <v>0</v>
      </c>
      <c r="BL18" s="5">
        <f>BB18-BK18</f>
        <v/>
      </c>
      <c r="BM18" s="6">
        <f>((BL18*2.0*6.0)/12*I18)/1000</f>
        <v/>
      </c>
    </row>
    <row r="19">
      <c r="A19" s="2" t="inlineStr">
        <is>
          <t>Lumber</t>
        </is>
      </c>
      <c r="B19" s="3" t="inlineStr">
        <is>
          <t>2 x 6 14 SYP #2</t>
        </is>
      </c>
      <c r="C19" s="2" t="n">
        <v>2</v>
      </c>
      <c r="D19" s="2" t="n">
        <v>6</v>
      </c>
      <c r="E19" s="2" t="n">
        <v>14</v>
      </c>
      <c r="F19" s="4" t="n">
        <v>231</v>
      </c>
      <c r="G19" s="4" t="n">
        <v>0</v>
      </c>
      <c r="H19" s="4">
        <f>F19+G19</f>
        <v/>
      </c>
      <c r="I19" s="5" t="n">
        <v>435</v>
      </c>
      <c r="J19" s="5">
        <f>H19*14.0</f>
        <v/>
      </c>
      <c r="K19" s="5">
        <f>(H19*2.0*6.0*14.0)/12</f>
        <v/>
      </c>
      <c r="L19" s="6">
        <f>(K19*I19)/1000</f>
        <v/>
      </c>
      <c r="M19" s="6">
        <f>L19*1.06</f>
        <v/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128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2" t="inlineStr">
        <is>
          <t>60126028</t>
        </is>
      </c>
      <c r="BA19" s="4">
        <f>SUM(N19:AY19)</f>
        <v/>
      </c>
      <c r="BB19" s="5">
        <f>BA19*14.0</f>
        <v/>
      </c>
      <c r="BC19" s="5">
        <f>(BA19*2.0*6.0*14.0)/12</f>
        <v/>
      </c>
      <c r="BD19" s="6">
        <f>(BC19*I19)/1000</f>
        <v/>
      </c>
      <c r="BE19" s="6">
        <f>BD19*1.06</f>
        <v/>
      </c>
      <c r="BF19" s="4">
        <f>H19-BA19</f>
        <v/>
      </c>
      <c r="BG19" s="5">
        <f>BF19*14.0</f>
        <v/>
      </c>
      <c r="BH19" s="5">
        <f>(BF19*2.0*6.0*14.0)/12</f>
        <v/>
      </c>
      <c r="BI19" s="6">
        <f>(BH19*I19)/1000</f>
        <v/>
      </c>
      <c r="BJ19" s="6">
        <f>BI19*1.06</f>
        <v/>
      </c>
      <c r="BK19" s="5" t="n">
        <v>0</v>
      </c>
      <c r="BL19" s="5">
        <f>BB19-BK19</f>
        <v/>
      </c>
      <c r="BM19" s="6">
        <f>((BL19*2.0*6.0)/12*I19)/1000</f>
        <v/>
      </c>
    </row>
    <row r="20">
      <c r="A20" s="2" t="inlineStr">
        <is>
          <t>Lumber</t>
        </is>
      </c>
      <c r="B20" s="3" t="inlineStr">
        <is>
          <t>2 x 6 16 SYP #2</t>
        </is>
      </c>
      <c r="C20" s="2" t="n">
        <v>2</v>
      </c>
      <c r="D20" s="2" t="n">
        <v>6</v>
      </c>
      <c r="E20" s="2" t="n">
        <v>16</v>
      </c>
      <c r="F20" s="4" t="n">
        <v>404</v>
      </c>
      <c r="G20" s="4" t="n">
        <v>0</v>
      </c>
      <c r="H20" s="4">
        <f>F20+G20</f>
        <v/>
      </c>
      <c r="I20" s="5" t="n">
        <v>435</v>
      </c>
      <c r="J20" s="5">
        <f>H20*16.0</f>
        <v/>
      </c>
      <c r="K20" s="5">
        <f>(H20*2.0*6.0*16.0)/12</f>
        <v/>
      </c>
      <c r="L20" s="6">
        <f>(K20*I20)/1000</f>
        <v/>
      </c>
      <c r="M20" s="6">
        <f>L20*1.06</f>
        <v/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128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2" t="inlineStr">
        <is>
          <t>60126028</t>
        </is>
      </c>
      <c r="BA20" s="4">
        <f>SUM(N20:AY20)</f>
        <v/>
      </c>
      <c r="BB20" s="5">
        <f>BA20*16.0</f>
        <v/>
      </c>
      <c r="BC20" s="5">
        <f>(BA20*2.0*6.0*16.0)/12</f>
        <v/>
      </c>
      <c r="BD20" s="6">
        <f>(BC20*I20)/1000</f>
        <v/>
      </c>
      <c r="BE20" s="6">
        <f>BD20*1.06</f>
        <v/>
      </c>
      <c r="BF20" s="4">
        <f>H20-BA20</f>
        <v/>
      </c>
      <c r="BG20" s="5">
        <f>BF20*16.0</f>
        <v/>
      </c>
      <c r="BH20" s="5">
        <f>(BF20*2.0*6.0*16.0)/12</f>
        <v/>
      </c>
      <c r="BI20" s="6">
        <f>(BH20*I20)/1000</f>
        <v/>
      </c>
      <c r="BJ20" s="6">
        <f>BI20*1.06</f>
        <v/>
      </c>
      <c r="BK20" s="5" t="n">
        <v>0</v>
      </c>
      <c r="BL20" s="5">
        <f>BB20-BK20</f>
        <v/>
      </c>
      <c r="BM20" s="6">
        <f>((BL20*2.0*6.0)/12*I20)/1000</f>
        <v/>
      </c>
    </row>
    <row r="21">
      <c r="A21" s="2" t="inlineStr">
        <is>
          <t>Lumber</t>
        </is>
      </c>
      <c r="B21" s="3" t="inlineStr">
        <is>
          <t>2 x 8 1 SYP #2</t>
        </is>
      </c>
      <c r="C21" s="2" t="n">
        <v>2</v>
      </c>
      <c r="D21" s="2" t="n">
        <v>8</v>
      </c>
      <c r="E21" s="2" t="n">
        <v>1</v>
      </c>
      <c r="F21" s="4" t="n">
        <v>9078</v>
      </c>
      <c r="G21" s="4" t="n">
        <v>0</v>
      </c>
      <c r="H21" s="4">
        <f>F21+G21</f>
        <v/>
      </c>
      <c r="I21" s="5" t="n">
        <v>485</v>
      </c>
      <c r="J21" s="5">
        <f>H21*1.0</f>
        <v/>
      </c>
      <c r="K21" s="5">
        <f>(H21*2.0*8.0*1.0)/12</f>
        <v/>
      </c>
      <c r="L21" s="6">
        <f>(K21*I21)/1000</f>
        <v/>
      </c>
      <c r="M21" s="6">
        <f>L21*1.06</f>
        <v/>
      </c>
      <c r="N21" s="4" t="n">
        <v>0</v>
      </c>
      <c r="O21" s="4" t="n">
        <v>5760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3456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2" t="inlineStr">
        <is>
          <t>60126002
60126022</t>
        </is>
      </c>
      <c r="BA21" s="4">
        <f>SUM(N21:AY21)</f>
        <v/>
      </c>
      <c r="BB21" s="5">
        <f>BA21</f>
        <v/>
      </c>
      <c r="BC21" s="5">
        <f>(BA21*2.0*8.0)/12</f>
        <v/>
      </c>
      <c r="BD21" s="6">
        <f>(BC21*I21)/1000</f>
        <v/>
      </c>
      <c r="BE21" s="6">
        <f>BD21*1.06</f>
        <v/>
      </c>
      <c r="BF21" s="4">
        <f>J21-BB21</f>
        <v/>
      </c>
      <c r="BG21" s="5">
        <f>BF21</f>
        <v/>
      </c>
      <c r="BH21" s="5">
        <f>(BF21*2.0*8.0)/12</f>
        <v/>
      </c>
      <c r="BI21" s="6">
        <f>(BH21*I21)/1000</f>
        <v/>
      </c>
      <c r="BJ21" s="6">
        <f>BI21*1.06</f>
        <v/>
      </c>
      <c r="BK21" s="5" t="n">
        <v>0</v>
      </c>
      <c r="BL21" s="5">
        <f>BB21-BK21</f>
        <v/>
      </c>
      <c r="BM21" s="6">
        <f>((BL21*2.0*8.0)/12*I21)/1000</f>
        <v/>
      </c>
    </row>
    <row r="22">
      <c r="A22" s="2" t="inlineStr">
        <is>
          <t>Lumber</t>
        </is>
      </c>
      <c r="B22" s="3" t="inlineStr">
        <is>
          <t>2 x 8 9 SYP #2 PET 104-5/8</t>
        </is>
      </c>
      <c r="C22" s="2" t="n">
        <v>2</v>
      </c>
      <c r="D22" s="2" t="n">
        <v>8</v>
      </c>
      <c r="E22" s="2" t="n">
        <v>9</v>
      </c>
      <c r="F22" s="4" t="n">
        <v>982</v>
      </c>
      <c r="G22" s="4" t="n">
        <v>0</v>
      </c>
      <c r="H22" s="4">
        <f>F22+G22</f>
        <v/>
      </c>
      <c r="I22" s="5" t="n">
        <v>485</v>
      </c>
      <c r="J22" s="5">
        <f>H22*9.0</f>
        <v/>
      </c>
      <c r="K22" s="5">
        <f>(H22*2.0*8.0*9.0)/12</f>
        <v/>
      </c>
      <c r="L22" s="6">
        <f>(K22*I22)/1000</f>
        <v/>
      </c>
      <c r="M22" s="6">
        <f>L22*1.06</f>
        <v/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480</v>
      </c>
      <c r="Z22" s="4" t="n">
        <v>0</v>
      </c>
      <c r="AA22" s="4" t="n">
        <v>480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2" t="inlineStr">
        <is>
          <t>60126012
60126014</t>
        </is>
      </c>
      <c r="BA22" s="4">
        <f>SUM(N22:AY22)</f>
        <v/>
      </c>
      <c r="BB22" s="5">
        <f>BA22*9.0</f>
        <v/>
      </c>
      <c r="BC22" s="5">
        <f>(BA22*2.0*8.0*9.0)/12</f>
        <v/>
      </c>
      <c r="BD22" s="6">
        <f>(BC22*I22)/1000</f>
        <v/>
      </c>
      <c r="BE22" s="6">
        <f>BD22*1.06</f>
        <v/>
      </c>
      <c r="BF22" s="4">
        <f>H22-BA22</f>
        <v/>
      </c>
      <c r="BG22" s="5">
        <f>BF22*9.0</f>
        <v/>
      </c>
      <c r="BH22" s="5">
        <f>(BF22*2.0*8.0*9.0)/12</f>
        <v/>
      </c>
      <c r="BI22" s="6">
        <f>(BH22*I22)/1000</f>
        <v/>
      </c>
      <c r="BJ22" s="6">
        <f>BI22*1.06</f>
        <v/>
      </c>
      <c r="BK22" s="5" t="n">
        <v>0</v>
      </c>
      <c r="BL22" s="5">
        <f>BB22-BK22</f>
        <v/>
      </c>
      <c r="BM22" s="6">
        <f>((BL22*2.0*8.0)/12*I22)/1000</f>
        <v/>
      </c>
    </row>
    <row r="23">
      <c r="A23" s="2" t="inlineStr">
        <is>
          <t>Lumber</t>
        </is>
      </c>
      <c r="B23" s="3" t="inlineStr">
        <is>
          <t>2 x 10 1 SYP #2</t>
        </is>
      </c>
      <c r="C23" s="2" t="n">
        <v>2</v>
      </c>
      <c r="D23" s="2" t="n">
        <v>10</v>
      </c>
      <c r="E23" s="2" t="n">
        <v>1</v>
      </c>
      <c r="F23" s="4" t="n">
        <v>6122</v>
      </c>
      <c r="G23" s="4" t="n">
        <v>0</v>
      </c>
      <c r="H23" s="4">
        <f>F23+G23</f>
        <v/>
      </c>
      <c r="I23" s="5" t="n">
        <v>485</v>
      </c>
      <c r="J23" s="5">
        <f>H23*1.0</f>
        <v/>
      </c>
      <c r="K23" s="5">
        <f>(H23*2.0*10.0*1.0)/12</f>
        <v/>
      </c>
      <c r="L23" s="6">
        <f>(K23*I23)/1000</f>
        <v/>
      </c>
      <c r="M23" s="6">
        <f>L23*1.06</f>
        <v/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3840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2" t="inlineStr">
        <is>
          <t>60126022</t>
        </is>
      </c>
      <c r="BA23" s="4">
        <f>SUM(N23:AY23)</f>
        <v/>
      </c>
      <c r="BB23" s="5">
        <f>BA23</f>
        <v/>
      </c>
      <c r="BC23" s="5">
        <f>(BA23*2.0*10.0)/12</f>
        <v/>
      </c>
      <c r="BD23" s="6">
        <f>(BC23*I23)/1000</f>
        <v/>
      </c>
      <c r="BE23" s="6">
        <f>BD23*1.06</f>
        <v/>
      </c>
      <c r="BF23" s="4">
        <f>J23-BB23</f>
        <v/>
      </c>
      <c r="BG23" s="5">
        <f>BF23</f>
        <v/>
      </c>
      <c r="BH23" s="5">
        <f>(BF23*2.0*10.0)/12</f>
        <v/>
      </c>
      <c r="BI23" s="6">
        <f>(BH23*I23)/1000</f>
        <v/>
      </c>
      <c r="BJ23" s="6">
        <f>BI23*1.06</f>
        <v/>
      </c>
      <c r="BK23" s="5" t="n">
        <v>0</v>
      </c>
      <c r="BL23" s="5">
        <f>BB23-BK23</f>
        <v/>
      </c>
      <c r="BM23" s="6">
        <f>((BL23*2.0*10.0)/12*I23)/1000</f>
        <v/>
      </c>
    </row>
    <row r="24">
      <c r="A24" s="2" t="inlineStr">
        <is>
          <t>Lumber</t>
        </is>
      </c>
      <c r="B24" s="3" t="inlineStr">
        <is>
          <t>2 x 10 10 SYP #2</t>
        </is>
      </c>
      <c r="C24" s="2" t="n">
        <v>2</v>
      </c>
      <c r="D24" s="2" t="n">
        <v>10</v>
      </c>
      <c r="E24" s="2" t="n">
        <v>10</v>
      </c>
      <c r="F24" s="4" t="n">
        <v>161</v>
      </c>
      <c r="G24" s="4" t="n">
        <v>0</v>
      </c>
      <c r="H24" s="4">
        <f>F24+G24</f>
        <v/>
      </c>
      <c r="I24" s="5" t="n">
        <v>485</v>
      </c>
      <c r="J24" s="5">
        <f>H24*10.0</f>
        <v/>
      </c>
      <c r="K24" s="5">
        <f>(H24*2.0*10.0*10.0)/12</f>
        <v/>
      </c>
      <c r="L24" s="6">
        <f>(K24*I24)/1000</f>
        <v/>
      </c>
      <c r="M24" s="6">
        <f>L24*1.06</f>
        <v/>
      </c>
      <c r="N24" s="4" t="n">
        <v>0</v>
      </c>
      <c r="O24" s="4" t="n">
        <v>160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2" t="inlineStr">
        <is>
          <t>60126002</t>
        </is>
      </c>
      <c r="BA24" s="4">
        <f>SUM(N24:AY24)</f>
        <v/>
      </c>
      <c r="BB24" s="5">
        <f>BA24*10.0</f>
        <v/>
      </c>
      <c r="BC24" s="5">
        <f>(BA24*2.0*10.0*10.0)/12</f>
        <v/>
      </c>
      <c r="BD24" s="6">
        <f>(BC24*I24)/1000</f>
        <v/>
      </c>
      <c r="BE24" s="6">
        <f>BD24*1.06</f>
        <v/>
      </c>
      <c r="BF24" s="4">
        <f>H24-BA24</f>
        <v/>
      </c>
      <c r="BG24" s="5">
        <f>BF24*10.0</f>
        <v/>
      </c>
      <c r="BH24" s="5">
        <f>(BF24*2.0*10.0*10.0)/12</f>
        <v/>
      </c>
      <c r="BI24" s="6">
        <f>(BH24*I24)/1000</f>
        <v/>
      </c>
      <c r="BJ24" s="6">
        <f>BI24*1.06</f>
        <v/>
      </c>
      <c r="BK24" s="5" t="n">
        <v>0</v>
      </c>
      <c r="BL24" s="5">
        <f>BB24-BK24</f>
        <v/>
      </c>
      <c r="BM24" s="6">
        <f>((BL24*2.0*10.0)/12*I24)/1000</f>
        <v/>
      </c>
    </row>
    <row r="25">
      <c r="A25" s="2" t="inlineStr">
        <is>
          <t>Lumber</t>
        </is>
      </c>
      <c r="B25" s="3" t="inlineStr">
        <is>
          <t>2 x 10 12 SYP #2</t>
        </is>
      </c>
      <c r="C25" s="2" t="n">
        <v>2</v>
      </c>
      <c r="D25" s="2" t="n">
        <v>10</v>
      </c>
      <c r="E25" s="2" t="n">
        <v>12</v>
      </c>
      <c r="F25" s="4" t="n">
        <v>128</v>
      </c>
      <c r="G25" s="4" t="n">
        <v>0</v>
      </c>
      <c r="H25" s="4">
        <f>F25+G25</f>
        <v/>
      </c>
      <c r="I25" s="5" t="n">
        <v>485</v>
      </c>
      <c r="J25" s="5">
        <f>H25*12.0</f>
        <v/>
      </c>
      <c r="K25" s="5">
        <f>(H25*2.0*10.0*12.0)/12</f>
        <v/>
      </c>
      <c r="L25" s="6">
        <f>(K25*I25)/1000</f>
        <v/>
      </c>
      <c r="M25" s="6">
        <f>L25*1.06</f>
        <v/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2" t="inlineStr"/>
      <c r="BA25" s="4">
        <f>SUM(N25:AY25)</f>
        <v/>
      </c>
      <c r="BB25" s="5">
        <f>BA25*12.0</f>
        <v/>
      </c>
      <c r="BC25" s="5">
        <f>(BA25*2.0*10.0*12.0)/12</f>
        <v/>
      </c>
      <c r="BD25" s="6">
        <f>(BC25*I25)/1000</f>
        <v/>
      </c>
      <c r="BE25" s="6">
        <f>BD25*1.06</f>
        <v/>
      </c>
      <c r="BF25" s="4">
        <f>H25-BA25</f>
        <v/>
      </c>
      <c r="BG25" s="5">
        <f>BF25*12.0</f>
        <v/>
      </c>
      <c r="BH25" s="5">
        <f>(BF25*2.0*10.0*12.0)/12</f>
        <v/>
      </c>
      <c r="BI25" s="6">
        <f>(BH25*I25)/1000</f>
        <v/>
      </c>
      <c r="BJ25" s="6">
        <f>BI25*1.06</f>
        <v/>
      </c>
      <c r="BK25" s="5" t="n">
        <v>0</v>
      </c>
      <c r="BL25" s="5">
        <f>BB25-BK25</f>
        <v/>
      </c>
      <c r="BM25" s="6">
        <f>((BL25*2.0*10.0)/12*I25)/1000</f>
        <v/>
      </c>
    </row>
    <row r="26">
      <c r="A26" s="2" t="inlineStr">
        <is>
          <t>Lumber</t>
        </is>
      </c>
      <c r="B26" s="3" t="inlineStr">
        <is>
          <t>2 x 10 10 SYP #2</t>
        </is>
      </c>
      <c r="C26" s="2" t="n">
        <v>2</v>
      </c>
      <c r="D26" s="2" t="n">
        <v>10</v>
      </c>
      <c r="E26" s="2" t="n">
        <v>10</v>
      </c>
      <c r="F26" s="4" t="n">
        <v>47</v>
      </c>
      <c r="G26" s="4" t="n">
        <v>0</v>
      </c>
      <c r="H26" s="4">
        <f>F26+G26</f>
        <v/>
      </c>
      <c r="I26" s="5" t="n">
        <v>485</v>
      </c>
      <c r="J26" s="5">
        <f>H26*10.0</f>
        <v/>
      </c>
      <c r="K26" s="5">
        <f>(H26*2.0*10.0*10.0)/12</f>
        <v/>
      </c>
      <c r="L26" s="6">
        <f>(K26*I26)/1000</f>
        <v/>
      </c>
      <c r="M26" s="6">
        <f>L26*1.06</f>
        <v/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2" t="inlineStr"/>
      <c r="BA26" s="4">
        <f>SUM(N26:AY26)</f>
        <v/>
      </c>
      <c r="BB26" s="5">
        <f>BA26*10.0</f>
        <v/>
      </c>
      <c r="BC26" s="5">
        <f>(BA26*2.0*10.0*10.0)/12</f>
        <v/>
      </c>
      <c r="BD26" s="6">
        <f>(BC26*I26)/1000</f>
        <v/>
      </c>
      <c r="BE26" s="6">
        <f>BD26*1.06</f>
        <v/>
      </c>
      <c r="BF26" s="4">
        <f>H26-BA26</f>
        <v/>
      </c>
      <c r="BG26" s="5">
        <f>BF26*10.0</f>
        <v/>
      </c>
      <c r="BH26" s="5">
        <f>(BF26*2.0*10.0*10.0)/12</f>
        <v/>
      </c>
      <c r="BI26" s="6">
        <f>(BH26*I26)/1000</f>
        <v/>
      </c>
      <c r="BJ26" s="6">
        <f>BI26*1.06</f>
        <v/>
      </c>
      <c r="BK26" s="5" t="n">
        <v>0</v>
      </c>
      <c r="BL26" s="5">
        <f>BB26-BK26</f>
        <v/>
      </c>
      <c r="BM26" s="6">
        <f>((BL26*2.0*10.0)/12*I26)/1000</f>
        <v/>
      </c>
    </row>
    <row r="27">
      <c r="A27" s="2" t="inlineStr">
        <is>
          <t>Lumber</t>
        </is>
      </c>
      <c r="B27" s="3" t="inlineStr">
        <is>
          <t>2 x 10 12 SYP #2</t>
        </is>
      </c>
      <c r="C27" s="2" t="n">
        <v>2</v>
      </c>
      <c r="D27" s="2" t="n">
        <v>10</v>
      </c>
      <c r="E27" s="2" t="n">
        <v>12</v>
      </c>
      <c r="F27" s="4" t="n">
        <v>60</v>
      </c>
      <c r="G27" s="4" t="n">
        <v>0</v>
      </c>
      <c r="H27" s="4">
        <f>F27+G27</f>
        <v/>
      </c>
      <c r="I27" s="5" t="n">
        <v>485</v>
      </c>
      <c r="J27" s="5">
        <f>H27*12.0</f>
        <v/>
      </c>
      <c r="K27" s="5">
        <f>(H27*2.0*10.0*12.0)/12</f>
        <v/>
      </c>
      <c r="L27" s="6">
        <f>(K27*I27)/1000</f>
        <v/>
      </c>
      <c r="M27" s="6">
        <f>L27*1.06</f>
        <v/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2" t="inlineStr"/>
      <c r="BA27" s="4">
        <f>SUM(N27:AY27)</f>
        <v/>
      </c>
      <c r="BB27" s="5">
        <f>BA27*12.0</f>
        <v/>
      </c>
      <c r="BC27" s="5">
        <f>(BA27*2.0*10.0*12.0)/12</f>
        <v/>
      </c>
      <c r="BD27" s="6">
        <f>(BC27*I27)/1000</f>
        <v/>
      </c>
      <c r="BE27" s="6">
        <f>BD27*1.06</f>
        <v/>
      </c>
      <c r="BF27" s="4">
        <f>H27-BA27</f>
        <v/>
      </c>
      <c r="BG27" s="5">
        <f>BF27*12.0</f>
        <v/>
      </c>
      <c r="BH27" s="5">
        <f>(BF27*2.0*10.0*12.0)/12</f>
        <v/>
      </c>
      <c r="BI27" s="6">
        <f>(BH27*I27)/1000</f>
        <v/>
      </c>
      <c r="BJ27" s="6">
        <f>BI27*1.06</f>
        <v/>
      </c>
      <c r="BK27" s="5" t="n">
        <v>0</v>
      </c>
      <c r="BL27" s="5">
        <f>BB27-BK27</f>
        <v/>
      </c>
      <c r="BM27" s="6">
        <f>((BL27*2.0*10.0)/12*I27)/1000</f>
        <v/>
      </c>
    </row>
    <row r="28">
      <c r="A28" s="2" t="inlineStr">
        <is>
          <t>Lumber</t>
        </is>
      </c>
      <c r="B28" s="3" t="inlineStr">
        <is>
          <t>2 x 10 14 SYP #2</t>
        </is>
      </c>
      <c r="C28" s="2" t="n">
        <v>2</v>
      </c>
      <c r="D28" s="2" t="n">
        <v>10</v>
      </c>
      <c r="E28" s="2" t="n">
        <v>14</v>
      </c>
      <c r="F28" s="4" t="n">
        <v>26</v>
      </c>
      <c r="G28" s="4" t="n">
        <v>0</v>
      </c>
      <c r="H28" s="4">
        <f>F28+G28</f>
        <v/>
      </c>
      <c r="I28" s="5" t="n">
        <v>485</v>
      </c>
      <c r="J28" s="5">
        <f>H28*14.0</f>
        <v/>
      </c>
      <c r="K28" s="5">
        <f>(H28*2.0*10.0*14.0)/12</f>
        <v/>
      </c>
      <c r="L28" s="6">
        <f>(K28*I28)/1000</f>
        <v/>
      </c>
      <c r="M28" s="6">
        <f>L28*1.06</f>
        <v/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2" t="inlineStr"/>
      <c r="BA28" s="4">
        <f>SUM(N28:AY28)</f>
        <v/>
      </c>
      <c r="BB28" s="5">
        <f>BA28*14.0</f>
        <v/>
      </c>
      <c r="BC28" s="5">
        <f>(BA28*2.0*10.0*14.0)/12</f>
        <v/>
      </c>
      <c r="BD28" s="6">
        <f>(BC28*I28)/1000</f>
        <v/>
      </c>
      <c r="BE28" s="6">
        <f>BD28*1.06</f>
        <v/>
      </c>
      <c r="BF28" s="4">
        <f>H28-BA28</f>
        <v/>
      </c>
      <c r="BG28" s="5">
        <f>BF28*14.0</f>
        <v/>
      </c>
      <c r="BH28" s="5">
        <f>(BF28*2.0*10.0*14.0)/12</f>
        <v/>
      </c>
      <c r="BI28" s="6">
        <f>(BH28*I28)/1000</f>
        <v/>
      </c>
      <c r="BJ28" s="6">
        <f>BI28*1.06</f>
        <v/>
      </c>
      <c r="BK28" s="5" t="n">
        <v>0</v>
      </c>
      <c r="BL28" s="5">
        <f>BB28-BK28</f>
        <v/>
      </c>
      <c r="BM28" s="6">
        <f>((BL28*2.0*10.0)/12*I28)/1000</f>
        <v/>
      </c>
    </row>
    <row r="29">
      <c r="A29" s="2" t="inlineStr">
        <is>
          <t>Lumber</t>
        </is>
      </c>
      <c r="B29" s="3" t="inlineStr">
        <is>
          <t>2 x 12 1 SYP #2</t>
        </is>
      </c>
      <c r="C29" s="2" t="n">
        <v>2</v>
      </c>
      <c r="D29" s="2" t="n">
        <v>12</v>
      </c>
      <c r="E29" s="2" t="n">
        <v>1</v>
      </c>
      <c r="F29" s="4" t="n">
        <v>693</v>
      </c>
      <c r="G29" s="4" t="n">
        <v>0</v>
      </c>
      <c r="H29" s="4">
        <f>F29+G29</f>
        <v/>
      </c>
      <c r="I29" s="5" t="n">
        <v>535</v>
      </c>
      <c r="J29" s="5">
        <f>H29*1.0</f>
        <v/>
      </c>
      <c r="K29" s="5">
        <f>(H29*2.0*12.0*1.0)/12</f>
        <v/>
      </c>
      <c r="L29" s="6">
        <f>(K29*I29)/1000</f>
        <v/>
      </c>
      <c r="M29" s="6">
        <f>L29*1.06</f>
        <v/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768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2" t="inlineStr">
        <is>
          <t>60126022</t>
        </is>
      </c>
      <c r="BA29" s="4">
        <f>SUM(N29:AY29)</f>
        <v/>
      </c>
      <c r="BB29" s="5">
        <f>BA29</f>
        <v/>
      </c>
      <c r="BC29" s="5">
        <f>(BA29*2.0*12.0)/12</f>
        <v/>
      </c>
      <c r="BD29" s="6">
        <f>(BC29*I29)/1000</f>
        <v/>
      </c>
      <c r="BE29" s="6">
        <f>BD29*1.06</f>
        <v/>
      </c>
      <c r="BF29" s="4">
        <f>J29-BB29</f>
        <v/>
      </c>
      <c r="BG29" s="5">
        <f>BF29</f>
        <v/>
      </c>
      <c r="BH29" s="5">
        <f>(BF29*2.0*12.0)/12</f>
        <v/>
      </c>
      <c r="BI29" s="6">
        <f>(BH29*I29)/1000</f>
        <v/>
      </c>
      <c r="BJ29" s="6">
        <f>BI29*1.06</f>
        <v/>
      </c>
      <c r="BK29" s="5" t="n">
        <v>0</v>
      </c>
      <c r="BL29" s="5">
        <f>BB29-BK29</f>
        <v/>
      </c>
      <c r="BM29" s="6">
        <f>((BL29*2.0*12.0)/12*I29)/1000</f>
        <v/>
      </c>
    </row>
    <row r="30">
      <c r="A30" s="2" t="inlineStr">
        <is>
          <t>Lumber</t>
        </is>
      </c>
      <c r="B30" s="3" t="inlineStr">
        <is>
          <t>2 x 12 1 SYP #2</t>
        </is>
      </c>
      <c r="C30" s="2" t="n">
        <v>2</v>
      </c>
      <c r="D30" s="2" t="n">
        <v>12</v>
      </c>
      <c r="E30" s="2" t="n">
        <v>1</v>
      </c>
      <c r="F30" s="4" t="n">
        <v>18</v>
      </c>
      <c r="G30" s="4" t="n">
        <v>0</v>
      </c>
      <c r="H30" s="4">
        <f>F30+G30</f>
        <v/>
      </c>
      <c r="I30" s="5" t="n">
        <v>535</v>
      </c>
      <c r="J30" s="5">
        <f>H30*1.0</f>
        <v/>
      </c>
      <c r="K30" s="5">
        <f>(H30*2.0*12.0*1.0)/12</f>
        <v/>
      </c>
      <c r="L30" s="6">
        <f>(K30*I30)/1000</f>
        <v/>
      </c>
      <c r="M30" s="6">
        <f>L30*1.06</f>
        <v/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2" t="inlineStr"/>
      <c r="BA30" s="4">
        <f>SUM(N30:AY30)</f>
        <v/>
      </c>
      <c r="BB30" s="5">
        <f>BA30</f>
        <v/>
      </c>
      <c r="BC30" s="5">
        <f>(BA30*2.0*12.0)/12</f>
        <v/>
      </c>
      <c r="BD30" s="6">
        <f>(BC30*I30)/1000</f>
        <v/>
      </c>
      <c r="BE30" s="6">
        <f>BD30*1.06</f>
        <v/>
      </c>
      <c r="BF30" s="4">
        <f>J30-BB30</f>
        <v/>
      </c>
      <c r="BG30" s="5">
        <f>BF30</f>
        <v/>
      </c>
      <c r="BH30" s="5">
        <f>(BF30*2.0*12.0)/12</f>
        <v/>
      </c>
      <c r="BI30" s="6">
        <f>(BH30*I30)/1000</f>
        <v/>
      </c>
      <c r="BJ30" s="6">
        <f>BI30*1.06</f>
        <v/>
      </c>
      <c r="BK30" s="5" t="n">
        <v>0</v>
      </c>
      <c r="BL30" s="5">
        <f>BB30-BK30</f>
        <v/>
      </c>
      <c r="BM30" s="6">
        <f>((BL30*2.0*12.0)/12*I30)/1000</f>
        <v/>
      </c>
    </row>
    <row r="31">
      <c r="A31" s="2" t="inlineStr">
        <is>
          <t>Lumber</t>
        </is>
      </c>
      <c r="B31" s="3" t="inlineStr">
        <is>
          <t>2 x 12 10 SYP #2</t>
        </is>
      </c>
      <c r="C31" s="2" t="n">
        <v>2</v>
      </c>
      <c r="D31" s="2" t="n">
        <v>12</v>
      </c>
      <c r="E31" s="2" t="n">
        <v>10</v>
      </c>
      <c r="F31" s="4" t="n">
        <v>115</v>
      </c>
      <c r="G31" s="4" t="n">
        <v>0</v>
      </c>
      <c r="H31" s="4">
        <f>F31+G31</f>
        <v/>
      </c>
      <c r="I31" s="5" t="n">
        <v>535</v>
      </c>
      <c r="J31" s="5">
        <f>H31*10.0</f>
        <v/>
      </c>
      <c r="K31" s="5">
        <f>(H31*2.0*12.0*10.0)/12</f>
        <v/>
      </c>
      <c r="L31" s="6">
        <f>(K31*I31)/1000</f>
        <v/>
      </c>
      <c r="M31" s="6">
        <f>L31*1.06</f>
        <v/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2" t="inlineStr"/>
      <c r="BA31" s="4">
        <f>SUM(N31:AY31)</f>
        <v/>
      </c>
      <c r="BB31" s="5">
        <f>BA31*10.0</f>
        <v/>
      </c>
      <c r="BC31" s="5">
        <f>(BA31*2.0*12.0*10.0)/12</f>
        <v/>
      </c>
      <c r="BD31" s="6">
        <f>(BC31*I31)/1000</f>
        <v/>
      </c>
      <c r="BE31" s="6">
        <f>BD31*1.06</f>
        <v/>
      </c>
      <c r="BF31" s="4">
        <f>H31-BA31</f>
        <v/>
      </c>
      <c r="BG31" s="5">
        <f>BF31*10.0</f>
        <v/>
      </c>
      <c r="BH31" s="5">
        <f>(BF31*2.0*12.0*10.0)/12</f>
        <v/>
      </c>
      <c r="BI31" s="6">
        <f>(BH31*I31)/1000</f>
        <v/>
      </c>
      <c r="BJ31" s="6">
        <f>BI31*1.06</f>
        <v/>
      </c>
      <c r="BK31" s="5" t="n">
        <v>0</v>
      </c>
      <c r="BL31" s="5">
        <f>BB31-BK31</f>
        <v/>
      </c>
      <c r="BM31" s="6">
        <f>((BL31*2.0*12.0)/12*I31)/1000</f>
        <v/>
      </c>
    </row>
    <row r="32">
      <c r="A32" s="2" t="inlineStr">
        <is>
          <t>Lumber</t>
        </is>
      </c>
      <c r="B32" s="3" t="inlineStr">
        <is>
          <t>2 x 12 12 SYP #2</t>
        </is>
      </c>
      <c r="C32" s="2" t="n">
        <v>2</v>
      </c>
      <c r="D32" s="2" t="n">
        <v>12</v>
      </c>
      <c r="E32" s="2" t="n">
        <v>12</v>
      </c>
      <c r="F32" s="4" t="n">
        <v>131</v>
      </c>
      <c r="G32" s="4" t="n">
        <v>0</v>
      </c>
      <c r="H32" s="4">
        <f>F32+G32</f>
        <v/>
      </c>
      <c r="I32" s="5" t="n">
        <v>535</v>
      </c>
      <c r="J32" s="5">
        <f>H32*12.0</f>
        <v/>
      </c>
      <c r="K32" s="5">
        <f>(H32*2.0*12.0*12.0)/12</f>
        <v/>
      </c>
      <c r="L32" s="6">
        <f>(K32*I32)/1000</f>
        <v/>
      </c>
      <c r="M32" s="6">
        <f>L32*1.06</f>
        <v/>
      </c>
      <c r="N32" s="4" t="n">
        <v>0</v>
      </c>
      <c r="O32" s="4" t="n">
        <v>64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2" t="inlineStr">
        <is>
          <t>60126002</t>
        </is>
      </c>
      <c r="BA32" s="4">
        <f>SUM(N32:AY32)</f>
        <v/>
      </c>
      <c r="BB32" s="5">
        <f>BA32*12.0</f>
        <v/>
      </c>
      <c r="BC32" s="5">
        <f>(BA32*2.0*12.0*12.0)/12</f>
        <v/>
      </c>
      <c r="BD32" s="6">
        <f>(BC32*I32)/1000</f>
        <v/>
      </c>
      <c r="BE32" s="6">
        <f>BD32*1.06</f>
        <v/>
      </c>
      <c r="BF32" s="4">
        <f>H32-BA32</f>
        <v/>
      </c>
      <c r="BG32" s="5">
        <f>BF32*12.0</f>
        <v/>
      </c>
      <c r="BH32" s="5">
        <f>(BF32*2.0*12.0*12.0)/12</f>
        <v/>
      </c>
      <c r="BI32" s="6">
        <f>(BH32*I32)/1000</f>
        <v/>
      </c>
      <c r="BJ32" s="6">
        <f>BI32*1.06</f>
        <v/>
      </c>
      <c r="BK32" s="5" t="n">
        <v>0</v>
      </c>
      <c r="BL32" s="5">
        <f>BB32-BK32</f>
        <v/>
      </c>
      <c r="BM32" s="6">
        <f>((BL32*2.0*12.0)/12*I32)/1000</f>
        <v/>
      </c>
    </row>
    <row r="33">
      <c r="A33" s="2" t="inlineStr">
        <is>
          <t>Lumber</t>
        </is>
      </c>
      <c r="B33" s="3" t="inlineStr">
        <is>
          <t>2 x 12 14 SYP #2</t>
        </is>
      </c>
      <c r="C33" s="2" t="n">
        <v>2</v>
      </c>
      <c r="D33" s="2" t="n">
        <v>12</v>
      </c>
      <c r="E33" s="2" t="n">
        <v>14</v>
      </c>
      <c r="F33" s="4" t="n">
        <v>26</v>
      </c>
      <c r="G33" s="4" t="n">
        <v>0</v>
      </c>
      <c r="H33" s="4">
        <f>F33+G33</f>
        <v/>
      </c>
      <c r="I33" s="5" t="n">
        <v>535</v>
      </c>
      <c r="J33" s="5">
        <f>H33*14.0</f>
        <v/>
      </c>
      <c r="K33" s="5">
        <f>(H33*2.0*12.0*14.0)/12</f>
        <v/>
      </c>
      <c r="L33" s="6">
        <f>(K33*I33)/1000</f>
        <v/>
      </c>
      <c r="M33" s="6">
        <f>L33*1.06</f>
        <v/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2" t="inlineStr"/>
      <c r="BA33" s="4">
        <f>SUM(N33:AY33)</f>
        <v/>
      </c>
      <c r="BB33" s="5">
        <f>BA33*14.0</f>
        <v/>
      </c>
      <c r="BC33" s="5">
        <f>(BA33*2.0*12.0*14.0)/12</f>
        <v/>
      </c>
      <c r="BD33" s="6">
        <f>(BC33*I33)/1000</f>
        <v/>
      </c>
      <c r="BE33" s="6">
        <f>BD33*1.06</f>
        <v/>
      </c>
      <c r="BF33" s="4">
        <f>H33-BA33</f>
        <v/>
      </c>
      <c r="BG33" s="5">
        <f>BF33*14.0</f>
        <v/>
      </c>
      <c r="BH33" s="5">
        <f>(BF33*2.0*12.0*14.0)/12</f>
        <v/>
      </c>
      <c r="BI33" s="6">
        <f>(BH33*I33)/1000</f>
        <v/>
      </c>
      <c r="BJ33" s="6">
        <f>BI33*1.06</f>
        <v/>
      </c>
      <c r="BK33" s="5" t="n">
        <v>0</v>
      </c>
      <c r="BL33" s="5">
        <f>BB33-BK33</f>
        <v/>
      </c>
      <c r="BM33" s="6">
        <f>((BL33*2.0*12.0)/12*I33)/1000</f>
        <v/>
      </c>
    </row>
    <row r="34">
      <c r="A34" s="2" t="inlineStr">
        <is>
          <t>Lumber</t>
        </is>
      </c>
      <c r="B34" s="3" t="inlineStr">
        <is>
          <t>4 x 4 1 SYP #2</t>
        </is>
      </c>
      <c r="C34" s="2" t="n">
        <v>4</v>
      </c>
      <c r="D34" s="2" t="n">
        <v>4</v>
      </c>
      <c r="E34" s="2" t="n">
        <v>1</v>
      </c>
      <c r="F34" s="4" t="n">
        <v>236</v>
      </c>
      <c r="G34" s="4" t="n">
        <v>0</v>
      </c>
      <c r="H34" s="4">
        <f>F34+G34</f>
        <v/>
      </c>
      <c r="I34" s="5" t="n">
        <v>995</v>
      </c>
      <c r="J34" s="5">
        <f>H34*1.0</f>
        <v/>
      </c>
      <c r="K34" s="5">
        <f>(H34*4.0*4.0*1.0)/12</f>
        <v/>
      </c>
      <c r="L34" s="6">
        <f>(K34*I34)/1000</f>
        <v/>
      </c>
      <c r="M34" s="6">
        <f>L34*1.06</f>
        <v/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2" t="inlineStr"/>
      <c r="BA34" s="4">
        <f>SUM(N34:AY34)</f>
        <v/>
      </c>
      <c r="BB34" s="5">
        <f>BA34</f>
        <v/>
      </c>
      <c r="BC34" s="5">
        <f>(BA34*4.0*4.0)/12</f>
        <v/>
      </c>
      <c r="BD34" s="6">
        <f>(BC34*I34)/1000</f>
        <v/>
      </c>
      <c r="BE34" s="6">
        <f>BD34*1.06</f>
        <v/>
      </c>
      <c r="BF34" s="4">
        <f>J34-BB34</f>
        <v/>
      </c>
      <c r="BG34" s="5">
        <f>BF34</f>
        <v/>
      </c>
      <c r="BH34" s="5">
        <f>(BF34*4.0*4.0)/12</f>
        <v/>
      </c>
      <c r="BI34" s="6">
        <f>(BH34*I34)/1000</f>
        <v/>
      </c>
      <c r="BJ34" s="6">
        <f>BI34*1.06</f>
        <v/>
      </c>
      <c r="BK34" s="5" t="n">
        <v>0</v>
      </c>
      <c r="BL34" s="5">
        <f>BB34-BK34</f>
        <v/>
      </c>
      <c r="BM34" s="6">
        <f>((BL34*4.0*4.0)/12*I34)/1000</f>
        <v/>
      </c>
    </row>
    <row r="35">
      <c r="A35" s="2" t="inlineStr">
        <is>
          <t>Lumber</t>
        </is>
      </c>
      <c r="B35" s="3" t="inlineStr">
        <is>
          <t>SYP DRY #2 STUD PET 104-5/8" 2X4X9 (CO#005)</t>
        </is>
      </c>
      <c r="C35" s="2" t="n">
        <v>2</v>
      </c>
      <c r="D35" s="2" t="n">
        <v>4</v>
      </c>
      <c r="E35" s="2" t="n">
        <v>9</v>
      </c>
      <c r="F35" s="4" t="n">
        <v>0</v>
      </c>
      <c r="G35" s="4" t="n">
        <v>1664</v>
      </c>
      <c r="H35" s="4">
        <f>F35+G35</f>
        <v/>
      </c>
      <c r="I35" s="5" t="n">
        <v>545</v>
      </c>
      <c r="J35" s="5">
        <f>H35*9.0</f>
        <v/>
      </c>
      <c r="K35" s="5">
        <f>(H35*2.0*4.0*9.0)/12</f>
        <v/>
      </c>
      <c r="L35" s="6">
        <f>(K35*I35)/1000</f>
        <v/>
      </c>
      <c r="M35" s="6">
        <f>L35*1.06</f>
        <v/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1664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2" t="inlineStr">
        <is>
          <t>60126032</t>
        </is>
      </c>
      <c r="BA35" s="4">
        <f>SUM(N35:AY35)</f>
        <v/>
      </c>
      <c r="BB35" s="5">
        <f>BA35*9.0</f>
        <v/>
      </c>
      <c r="BC35" s="5">
        <f>(BA35*2.0*4.0*9.0)/12</f>
        <v/>
      </c>
      <c r="BD35" s="6">
        <f>(BC35*I35)/1000</f>
        <v/>
      </c>
      <c r="BE35" s="6">
        <f>BD35*1.06</f>
        <v/>
      </c>
      <c r="BF35" s="4">
        <f>H35-BA35</f>
        <v/>
      </c>
      <c r="BG35" s="5">
        <f>BF35*9.0</f>
        <v/>
      </c>
      <c r="BH35" s="5">
        <f>(BF35*2.0*4.0*9.0)/12</f>
        <v/>
      </c>
      <c r="BI35" s="6">
        <f>(BH35*I35)/1000</f>
        <v/>
      </c>
      <c r="BJ35" s="6">
        <f>BI35*1.06</f>
        <v/>
      </c>
      <c r="BK35" s="5" t="n">
        <v>0</v>
      </c>
      <c r="BL35" s="5">
        <f>BB35-BK35</f>
        <v/>
      </c>
      <c r="BM35" s="6">
        <f>((BL35*2.0*4.0)/12*I35)/1000</f>
        <v/>
      </c>
    </row>
    <row r="36">
      <c r="A36" s="2" t="inlineStr">
        <is>
          <t>Lumber</t>
        </is>
      </c>
      <c r="B36" s="3" t="inlineStr">
        <is>
          <t>SYP DRY #2 S4S 2X6XR/L (CO#009)</t>
        </is>
      </c>
      <c r="C36" s="2" t="n">
        <v>2</v>
      </c>
      <c r="D36" s="2" t="n">
        <v>6</v>
      </c>
      <c r="E36" s="2" t="n">
        <v>1</v>
      </c>
      <c r="F36" s="4" t="n">
        <v>0</v>
      </c>
      <c r="G36" s="4" t="n">
        <v>3584</v>
      </c>
      <c r="H36" s="4">
        <f>F36+G36</f>
        <v/>
      </c>
      <c r="I36" s="5" t="n">
        <v>495</v>
      </c>
      <c r="J36" s="5">
        <f>H36*1.0</f>
        <v/>
      </c>
      <c r="K36" s="5">
        <f>(H36*2.0*6.0*1.0)/12</f>
        <v/>
      </c>
      <c r="L36" s="6">
        <f>(K36*I36)/1000</f>
        <v/>
      </c>
      <c r="M36" s="6">
        <f>L36*1.06</f>
        <v/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3584</v>
      </c>
      <c r="AV36" s="4" t="n">
        <v>0</v>
      </c>
      <c r="AW36" s="4" t="n">
        <v>0</v>
      </c>
      <c r="AX36" s="4" t="n">
        <v>0</v>
      </c>
      <c r="AY36" s="4" t="n">
        <v>0</v>
      </c>
      <c r="AZ36" s="2" t="inlineStr">
        <is>
          <t>60126036</t>
        </is>
      </c>
      <c r="BA36" s="4">
        <f>SUM(N36:AY36)</f>
        <v/>
      </c>
      <c r="BB36" s="5">
        <f>BA36</f>
        <v/>
      </c>
      <c r="BC36" s="5">
        <f>(BA36*2.0*6.0)/12</f>
        <v/>
      </c>
      <c r="BD36" s="6">
        <f>(BC36*I36)/1000</f>
        <v/>
      </c>
      <c r="BE36" s="6">
        <f>BD36*1.06</f>
        <v/>
      </c>
      <c r="BF36" s="4">
        <f>J36-BB36</f>
        <v/>
      </c>
      <c r="BG36" s="5">
        <f>BF36</f>
        <v/>
      </c>
      <c r="BH36" s="5">
        <f>(BF36*2.0*6.0)/12</f>
        <v/>
      </c>
      <c r="BI36" s="6">
        <f>(BH36*I36)/1000</f>
        <v/>
      </c>
      <c r="BJ36" s="6">
        <f>BI36*1.06</f>
        <v/>
      </c>
      <c r="BK36" s="5" t="n">
        <v>0</v>
      </c>
      <c r="BL36" s="5">
        <f>BB36-BK36</f>
        <v/>
      </c>
      <c r="BM36" s="6">
        <f>((BL36*2.0*6.0)/12*I36)/1000</f>
        <v/>
      </c>
    </row>
    <row r="37">
      <c r="A37" s="2" t="inlineStr">
        <is>
          <t>Lumber</t>
        </is>
      </c>
      <c r="B37" s="3" t="inlineStr">
        <is>
          <t>SYP DRY #2 STUD PET 104-5/8" 2X6X9 (CO#014)</t>
        </is>
      </c>
      <c r="C37" s="2" t="n">
        <v>2</v>
      </c>
      <c r="D37" s="2" t="n">
        <v>6</v>
      </c>
      <c r="E37" s="2" t="n">
        <v>9</v>
      </c>
      <c r="F37" s="4" t="n">
        <v>0</v>
      </c>
      <c r="G37" s="4" t="n">
        <v>128</v>
      </c>
      <c r="H37" s="4">
        <f>F37+G37</f>
        <v/>
      </c>
      <c r="I37" s="5" t="n">
        <v>645</v>
      </c>
      <c r="J37" s="5">
        <f>H37*9.0</f>
        <v/>
      </c>
      <c r="K37" s="5">
        <f>(H37*2.0*6.0*9.0)/12</f>
        <v/>
      </c>
      <c r="L37" s="6">
        <f>(K37*I37)/1000</f>
        <v/>
      </c>
      <c r="M37" s="6">
        <f>L37*1.06</f>
        <v/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2" t="inlineStr"/>
      <c r="BA37" s="4">
        <f>SUM(N37:AY37)</f>
        <v/>
      </c>
      <c r="BB37" s="5">
        <f>BA37*9.0</f>
        <v/>
      </c>
      <c r="BC37" s="5">
        <f>(BA37*2.0*6.0*9.0)/12</f>
        <v/>
      </c>
      <c r="BD37" s="6">
        <f>(BC37*I37)/1000</f>
        <v/>
      </c>
      <c r="BE37" s="6">
        <f>BD37*1.06</f>
        <v/>
      </c>
      <c r="BF37" s="4">
        <f>H37-BA37</f>
        <v/>
      </c>
      <c r="BG37" s="5">
        <f>BF37*9.0</f>
        <v/>
      </c>
      <c r="BH37" s="5">
        <f>(BF37*2.0*6.0*9.0)/12</f>
        <v/>
      </c>
      <c r="BI37" s="6">
        <f>(BH37*I37)/1000</f>
        <v/>
      </c>
      <c r="BJ37" s="6">
        <f>BI37*1.06</f>
        <v/>
      </c>
      <c r="BK37" s="5" t="n">
        <v>0</v>
      </c>
      <c r="BL37" s="5">
        <f>BB37-BK37</f>
        <v/>
      </c>
      <c r="BM37" s="6">
        <f>((BL37*2.0*6.0)/12*I37)/1000</f>
        <v/>
      </c>
    </row>
    <row r="38" ht="18" customHeight="1">
      <c r="A38" s="7" t="inlineStr">
        <is>
          <t>LUMBER SUBTOTAL</t>
        </is>
      </c>
      <c r="B38" s="8" t="inlineStr"/>
      <c r="C38" s="8" t="inlineStr"/>
      <c r="D38" s="8" t="inlineStr"/>
      <c r="E38" s="8" t="inlineStr"/>
      <c r="F38" s="9">
        <f>SUM(F2:F37)</f>
        <v/>
      </c>
      <c r="G38" s="9">
        <f>SUM(G2:G37)</f>
        <v/>
      </c>
      <c r="H38" s="9">
        <f>SUM(H2:H37)</f>
        <v/>
      </c>
      <c r="I38" s="8" t="inlineStr"/>
      <c r="J38" s="10">
        <f>SUM(J2:J37)</f>
        <v/>
      </c>
      <c r="K38" s="10">
        <f>SUM(K2:K37)</f>
        <v/>
      </c>
      <c r="L38" s="11">
        <f>SUM(L2:L37)</f>
        <v/>
      </c>
      <c r="M38" s="11">
        <f>SUM(M2:M37)</f>
        <v/>
      </c>
      <c r="N38" s="8">
        <f>SUM(N2:N37)</f>
        <v/>
      </c>
      <c r="O38" s="8">
        <f>SUM(O2:O37)</f>
        <v/>
      </c>
      <c r="P38" s="8">
        <f>SUM(P2:P37)</f>
        <v/>
      </c>
      <c r="Q38" s="8">
        <f>SUM(Q2:Q37)</f>
        <v/>
      </c>
      <c r="R38" s="8">
        <f>SUM(R2:R37)</f>
        <v/>
      </c>
      <c r="S38" s="8">
        <f>SUM(S2:S37)</f>
        <v/>
      </c>
      <c r="T38" s="8">
        <f>SUM(T2:T37)</f>
        <v/>
      </c>
      <c r="U38" s="8">
        <f>SUM(U2:U37)</f>
        <v/>
      </c>
      <c r="V38" s="8">
        <f>SUM(V2:V37)</f>
        <v/>
      </c>
      <c r="W38" s="8">
        <f>SUM(W2:W37)</f>
        <v/>
      </c>
      <c r="X38" s="8">
        <f>SUM(X2:X37)</f>
        <v/>
      </c>
      <c r="Y38" s="8">
        <f>SUM(Y2:Y37)</f>
        <v/>
      </c>
      <c r="Z38" s="8">
        <f>SUM(Z2:Z37)</f>
        <v/>
      </c>
      <c r="AA38" s="8">
        <f>SUM(AA2:AA37)</f>
        <v/>
      </c>
      <c r="AB38" s="8">
        <f>SUM(AB2:AB37)</f>
        <v/>
      </c>
      <c r="AC38" s="8">
        <f>SUM(AC2:AC37)</f>
        <v/>
      </c>
      <c r="AD38" s="8">
        <f>SUM(AD2:AD37)</f>
        <v/>
      </c>
      <c r="AE38" s="8">
        <f>SUM(AE2:AE37)</f>
        <v/>
      </c>
      <c r="AF38" s="8">
        <f>SUM(AF2:AF37)</f>
        <v/>
      </c>
      <c r="AG38" s="8">
        <f>SUM(AG2:AG37)</f>
        <v/>
      </c>
      <c r="AH38" s="8">
        <f>SUM(AH2:AH37)</f>
        <v/>
      </c>
      <c r="AI38" s="8">
        <f>SUM(AI2:AI37)</f>
        <v/>
      </c>
      <c r="AJ38" s="8">
        <f>SUM(AJ2:AJ37)</f>
        <v/>
      </c>
      <c r="AK38" s="8">
        <f>SUM(AK2:AK37)</f>
        <v/>
      </c>
      <c r="AL38" s="8">
        <f>SUM(AL2:AL37)</f>
        <v/>
      </c>
      <c r="AM38" s="8">
        <f>SUM(AM2:AM37)</f>
        <v/>
      </c>
      <c r="AN38" s="8">
        <f>SUM(AN2:AN37)</f>
        <v/>
      </c>
      <c r="AO38" s="8">
        <f>SUM(AO2:AO37)</f>
        <v/>
      </c>
      <c r="AP38" s="8">
        <f>SUM(AP2:AP37)</f>
        <v/>
      </c>
      <c r="AQ38" s="8">
        <f>SUM(AQ2:AQ37)</f>
        <v/>
      </c>
      <c r="AR38" s="8">
        <f>SUM(AR2:AR37)</f>
        <v/>
      </c>
      <c r="AS38" s="8">
        <f>SUM(AS2:AS37)</f>
        <v/>
      </c>
      <c r="AT38" s="8">
        <f>SUM(AT2:AT37)</f>
        <v/>
      </c>
      <c r="AU38" s="8">
        <f>SUM(AU2:AU37)</f>
        <v/>
      </c>
      <c r="AV38" s="8">
        <f>SUM(AV2:AV37)</f>
        <v/>
      </c>
      <c r="AW38" s="8">
        <f>SUM(AW2:AW37)</f>
        <v/>
      </c>
      <c r="AX38" s="8">
        <f>SUM(AX2:AX37)</f>
        <v/>
      </c>
      <c r="AY38" s="8">
        <f>SUM(AY2:AY37)</f>
        <v/>
      </c>
      <c r="AZ38" s="8" t="inlineStr"/>
      <c r="BA38" s="9">
        <f>SUM(BA2:BA37)</f>
        <v/>
      </c>
      <c r="BB38" s="10">
        <f>SUM(BB2:BB37)</f>
        <v/>
      </c>
      <c r="BC38" s="10">
        <f>SUM(BC2:BC37)</f>
        <v/>
      </c>
      <c r="BD38" s="11">
        <f>SUM(BD2:BD37)</f>
        <v/>
      </c>
      <c r="BE38" s="11">
        <f>SUM(BE2:BE37)</f>
        <v/>
      </c>
      <c r="BF38" s="9">
        <f>SUM(BF2:BF37)</f>
        <v/>
      </c>
      <c r="BG38" s="10">
        <f>SUM(BG2:BG37)</f>
        <v/>
      </c>
      <c r="BH38" s="10">
        <f>SUM(BH2:BH37)</f>
        <v/>
      </c>
      <c r="BI38" s="11">
        <f>SUM(BI2:BI37)</f>
        <v/>
      </c>
      <c r="BJ38" s="11">
        <f>SUM(BJ2:BJ37)</f>
        <v/>
      </c>
      <c r="BK38" s="10">
        <f>SUM(BK2:BK37)</f>
        <v/>
      </c>
      <c r="BL38" s="10">
        <f>SUM(BL2:BL37)</f>
        <v/>
      </c>
      <c r="BM38" s="11">
        <f>SUM(BM2:BM37)</f>
        <v/>
      </c>
    </row>
    <row r="39" ht="5" customHeight="1"/>
    <row r="40">
      <c r="A40" s="12" t="inlineStr">
        <is>
          <t>LVL</t>
        </is>
      </c>
      <c r="B40" s="13" t="inlineStr">
        <is>
          <t>3-1/2X5-1/4 PSL/GLB</t>
        </is>
      </c>
      <c r="C40" s="12" t="n">
        <v>3.5</v>
      </c>
      <c r="D40" s="12" t="n">
        <v>5.25</v>
      </c>
      <c r="E40" s="12" t="n">
        <v>9</v>
      </c>
      <c r="F40" s="14" t="n">
        <v>495</v>
      </c>
      <c r="G40" s="14" t="n">
        <v>0</v>
      </c>
      <c r="H40" s="14">
        <f>F40+G40</f>
        <v/>
      </c>
      <c r="I40" s="15" t="n">
        <v>6.88</v>
      </c>
      <c r="J40" s="15">
        <f>H40*9.0</f>
        <v/>
      </c>
      <c r="K40" s="15" t="n">
        <v>0</v>
      </c>
      <c r="L40" s="16">
        <f>J40*I40</f>
        <v/>
      </c>
      <c r="M40" s="16">
        <f>L40*1.06</f>
        <v/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240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240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15</v>
      </c>
      <c r="AN40" s="14" t="n">
        <v>0</v>
      </c>
      <c r="AO40" s="14" t="n">
        <v>0</v>
      </c>
      <c r="AP40" s="14" t="n">
        <v>0</v>
      </c>
      <c r="AQ40" s="14" t="n">
        <v>0</v>
      </c>
      <c r="AR40" s="14" t="n">
        <v>0</v>
      </c>
      <c r="AS40" s="14" t="n">
        <v>0</v>
      </c>
      <c r="AT40" s="14" t="n">
        <v>0</v>
      </c>
      <c r="AU40" s="14" t="n">
        <v>0</v>
      </c>
      <c r="AV40" s="14" t="n">
        <v>0</v>
      </c>
      <c r="AW40" s="14" t="n">
        <v>0</v>
      </c>
      <c r="AX40" s="14" t="n">
        <v>0</v>
      </c>
      <c r="AY40" s="14" t="n">
        <v>0</v>
      </c>
      <c r="AZ40" s="12" t="inlineStr">
        <is>
          <t>60126007
60126015
60126026</t>
        </is>
      </c>
      <c r="BA40" s="14">
        <f>SUM(N40:AY40)</f>
        <v/>
      </c>
      <c r="BB40" s="15">
        <f>BA40*9.0</f>
        <v/>
      </c>
      <c r="BC40" s="15">
        <f>(BA40*3.5*5.25*9.0)/12</f>
        <v/>
      </c>
      <c r="BD40" s="16">
        <f>BB40*I40</f>
        <v/>
      </c>
      <c r="BE40" s="16">
        <f>BD40*1.06</f>
        <v/>
      </c>
      <c r="BF40" s="14">
        <f>H40-BA40</f>
        <v/>
      </c>
      <c r="BG40" s="15">
        <f>BF40*9.0</f>
        <v/>
      </c>
      <c r="BH40" s="15" t="n">
        <v>0</v>
      </c>
      <c r="BI40" s="16">
        <f>BG40*I40</f>
        <v/>
      </c>
      <c r="BJ40" s="16">
        <f>BI40*1.06</f>
        <v/>
      </c>
      <c r="BK40" s="15" t="n">
        <v>0</v>
      </c>
      <c r="BL40" s="15">
        <f>BB40-BK40</f>
        <v/>
      </c>
      <c r="BM40" s="16">
        <f>BL40*I40</f>
        <v/>
      </c>
    </row>
    <row r="41">
      <c r="A41" s="12" t="inlineStr">
        <is>
          <t>LVL</t>
        </is>
      </c>
      <c r="B41" s="13" t="inlineStr">
        <is>
          <t>3-1/2X5-1/4 PSL/GLB</t>
        </is>
      </c>
      <c r="C41" s="12" t="n">
        <v>3.5</v>
      </c>
      <c r="D41" s="12" t="n">
        <v>5.25</v>
      </c>
      <c r="E41" s="12" t="n">
        <v>12</v>
      </c>
      <c r="F41" s="14" t="n">
        <v>16</v>
      </c>
      <c r="G41" s="14" t="n">
        <v>0</v>
      </c>
      <c r="H41" s="14">
        <f>F41+G41</f>
        <v/>
      </c>
      <c r="I41" s="15" t="n">
        <v>6.88</v>
      </c>
      <c r="J41" s="15">
        <f>H41*12.0</f>
        <v/>
      </c>
      <c r="K41" s="15" t="n">
        <v>0</v>
      </c>
      <c r="L41" s="16">
        <f>J41*I41</f>
        <v/>
      </c>
      <c r="M41" s="16">
        <f>L41*1.06</f>
        <v/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15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1</v>
      </c>
      <c r="AN41" s="14" t="n">
        <v>0</v>
      </c>
      <c r="AO41" s="14" t="n">
        <v>0</v>
      </c>
      <c r="AP41" s="14" t="n">
        <v>0</v>
      </c>
      <c r="AQ41" s="14" t="n">
        <v>0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2" t="inlineStr">
        <is>
          <t>60126015
60126026</t>
        </is>
      </c>
      <c r="BA41" s="14">
        <f>SUM(N41:AY41)</f>
        <v/>
      </c>
      <c r="BB41" s="15">
        <f>BA41*12.0</f>
        <v/>
      </c>
      <c r="BC41" s="15">
        <f>(BA41*3.5*5.25*12.0)/12</f>
        <v/>
      </c>
      <c r="BD41" s="16">
        <f>BB41*I41</f>
        <v/>
      </c>
      <c r="BE41" s="16">
        <f>BD41*1.06</f>
        <v/>
      </c>
      <c r="BF41" s="14">
        <f>H41-BA41</f>
        <v/>
      </c>
      <c r="BG41" s="15">
        <f>BF41*12.0</f>
        <v/>
      </c>
      <c r="BH41" s="15" t="n">
        <v>0</v>
      </c>
      <c r="BI41" s="16">
        <f>BG41*I41</f>
        <v/>
      </c>
      <c r="BJ41" s="16">
        <f>BI41*1.06</f>
        <v/>
      </c>
      <c r="BK41" s="15" t="n">
        <v>0</v>
      </c>
      <c r="BL41" s="15">
        <f>BB41-BK41</f>
        <v/>
      </c>
      <c r="BM41" s="16">
        <f>BL41*I41</f>
        <v/>
      </c>
    </row>
    <row r="42">
      <c r="A42" s="12" t="inlineStr">
        <is>
          <t>LVL</t>
        </is>
      </c>
      <c r="B42" s="13" t="inlineStr">
        <is>
          <t>3-1/2X11-7/8 PSL/GLB</t>
        </is>
      </c>
      <c r="C42" s="12" t="n">
        <v>3.5</v>
      </c>
      <c r="D42" s="12" t="n">
        <v>11.875</v>
      </c>
      <c r="E42" s="12" t="n">
        <v>10</v>
      </c>
      <c r="F42" s="14" t="n">
        <v>26</v>
      </c>
      <c r="G42" s="14" t="n">
        <v>0</v>
      </c>
      <c r="H42" s="14">
        <f>F42+G42</f>
        <v/>
      </c>
      <c r="I42" s="15" t="n">
        <v>13</v>
      </c>
      <c r="J42" s="15">
        <f>H42*10.0</f>
        <v/>
      </c>
      <c r="K42" s="15" t="n">
        <v>0</v>
      </c>
      <c r="L42" s="16">
        <f>J42*I42</f>
        <v/>
      </c>
      <c r="M42" s="16">
        <f>L42*1.06</f>
        <v/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12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12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2</v>
      </c>
      <c r="AN42" s="14" t="n">
        <v>0</v>
      </c>
      <c r="AO42" s="14" t="n">
        <v>0</v>
      </c>
      <c r="AP42" s="14" t="n">
        <v>0</v>
      </c>
      <c r="AQ42" s="14" t="n">
        <v>0</v>
      </c>
      <c r="AR42" s="14" t="n">
        <v>0</v>
      </c>
      <c r="AS42" s="14" t="n">
        <v>0</v>
      </c>
      <c r="AT42" s="14" t="n">
        <v>0</v>
      </c>
      <c r="AU42" s="14" t="n">
        <v>0</v>
      </c>
      <c r="AV42" s="14" t="n">
        <v>0</v>
      </c>
      <c r="AW42" s="14" t="n">
        <v>0</v>
      </c>
      <c r="AX42" s="14" t="n">
        <v>0</v>
      </c>
      <c r="AY42" s="14" t="n">
        <v>0</v>
      </c>
      <c r="AZ42" s="12" t="inlineStr">
        <is>
          <t>60126007
60126015
60126026</t>
        </is>
      </c>
      <c r="BA42" s="14">
        <f>SUM(N42:AY42)</f>
        <v/>
      </c>
      <c r="BB42" s="15">
        <f>BA42*10.0</f>
        <v/>
      </c>
      <c r="BC42" s="15">
        <f>(BA42*3.5*11.875*10.0)/12</f>
        <v/>
      </c>
      <c r="BD42" s="16">
        <f>BB42*I42</f>
        <v/>
      </c>
      <c r="BE42" s="16">
        <f>BD42*1.06</f>
        <v/>
      </c>
      <c r="BF42" s="14">
        <f>H42-BA42</f>
        <v/>
      </c>
      <c r="BG42" s="15">
        <f>BF42*10.0</f>
        <v/>
      </c>
      <c r="BH42" s="15" t="n">
        <v>0</v>
      </c>
      <c r="BI42" s="16">
        <f>BG42*I42</f>
        <v/>
      </c>
      <c r="BJ42" s="16">
        <f>BI42*1.06</f>
        <v/>
      </c>
      <c r="BK42" s="15" t="n">
        <v>0</v>
      </c>
      <c r="BL42" s="15">
        <f>BB42-BK42</f>
        <v/>
      </c>
      <c r="BM42" s="16">
        <f>BL42*I42</f>
        <v/>
      </c>
    </row>
    <row r="43">
      <c r="A43" s="12" t="inlineStr">
        <is>
          <t>LVL</t>
        </is>
      </c>
      <c r="B43" s="13" t="inlineStr">
        <is>
          <t>3-1/2X11-7/8 PSL/GLB</t>
        </is>
      </c>
      <c r="C43" s="12" t="n">
        <v>3.5</v>
      </c>
      <c r="D43" s="12" t="n">
        <v>11.875</v>
      </c>
      <c r="E43" s="12" t="n">
        <v>14</v>
      </c>
      <c r="F43" s="14" t="n">
        <v>18</v>
      </c>
      <c r="G43" s="14" t="n">
        <v>0</v>
      </c>
      <c r="H43" s="14">
        <f>F43+G43</f>
        <v/>
      </c>
      <c r="I43" s="15" t="n">
        <v>13</v>
      </c>
      <c r="J43" s="15">
        <f>H43*14.0</f>
        <v/>
      </c>
      <c r="K43" s="15" t="n">
        <v>0</v>
      </c>
      <c r="L43" s="16">
        <f>J43*I43</f>
        <v/>
      </c>
      <c r="M43" s="16">
        <f>L43*1.06</f>
        <v/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6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11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>
        <v>1</v>
      </c>
      <c r="AN43" s="14" t="n">
        <v>0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</v>
      </c>
      <c r="AX43" s="14" t="n">
        <v>0</v>
      </c>
      <c r="AY43" s="14" t="n">
        <v>0</v>
      </c>
      <c r="AZ43" s="12" t="inlineStr">
        <is>
          <t>60126007
60126015
60126026</t>
        </is>
      </c>
      <c r="BA43" s="14">
        <f>SUM(N43:AY43)</f>
        <v/>
      </c>
      <c r="BB43" s="15">
        <f>BA43*14.0</f>
        <v/>
      </c>
      <c r="BC43" s="15">
        <f>(BA43*3.5*11.875*14.0)/12</f>
        <v/>
      </c>
      <c r="BD43" s="16">
        <f>BB43*I43</f>
        <v/>
      </c>
      <c r="BE43" s="16">
        <f>BD43*1.06</f>
        <v/>
      </c>
      <c r="BF43" s="14">
        <f>H43-BA43</f>
        <v/>
      </c>
      <c r="BG43" s="15">
        <f>BF43*14.0</f>
        <v/>
      </c>
      <c r="BH43" s="15" t="n">
        <v>0</v>
      </c>
      <c r="BI43" s="16">
        <f>BG43*I43</f>
        <v/>
      </c>
      <c r="BJ43" s="16">
        <f>BI43*1.06</f>
        <v/>
      </c>
      <c r="BK43" s="15" t="n">
        <v>0</v>
      </c>
      <c r="BL43" s="15">
        <f>BB43-BK43</f>
        <v/>
      </c>
      <c r="BM43" s="16">
        <f>BL43*I43</f>
        <v/>
      </c>
    </row>
    <row r="44">
      <c r="A44" s="12" t="inlineStr">
        <is>
          <t>LVL</t>
        </is>
      </c>
      <c r="B44" s="13" t="inlineStr">
        <is>
          <t>3-1/2X14 PSL/GLB</t>
        </is>
      </c>
      <c r="C44" s="12" t="n">
        <v>3.5</v>
      </c>
      <c r="D44" s="12" t="n">
        <v>14</v>
      </c>
      <c r="E44" s="12" t="n">
        <v>14</v>
      </c>
      <c r="F44" s="14" t="n">
        <v>2</v>
      </c>
      <c r="G44" s="14" t="n">
        <v>0</v>
      </c>
      <c r="H44" s="14">
        <f>F44+G44</f>
        <v/>
      </c>
      <c r="I44" s="15" t="n">
        <v>15.49</v>
      </c>
      <c r="J44" s="15">
        <f>H44*14.0</f>
        <v/>
      </c>
      <c r="K44" s="15" t="n">
        <v>0</v>
      </c>
      <c r="L44" s="16">
        <f>J44*I44</f>
        <v/>
      </c>
      <c r="M44" s="16">
        <f>L44*1.06</f>
        <v/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1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1</v>
      </c>
      <c r="AN44" s="14" t="n">
        <v>0</v>
      </c>
      <c r="AO44" s="14" t="n">
        <v>0</v>
      </c>
      <c r="AP44" s="14" t="n">
        <v>0</v>
      </c>
      <c r="AQ44" s="14" t="n">
        <v>0</v>
      </c>
      <c r="AR44" s="14" t="n">
        <v>0</v>
      </c>
      <c r="AS44" s="14" t="n">
        <v>0</v>
      </c>
      <c r="AT44" s="14" t="n">
        <v>0</v>
      </c>
      <c r="AU44" s="14" t="n">
        <v>0</v>
      </c>
      <c r="AV44" s="14" t="n">
        <v>0</v>
      </c>
      <c r="AW44" s="14" t="n">
        <v>0</v>
      </c>
      <c r="AX44" s="14" t="n">
        <v>0</v>
      </c>
      <c r="AY44" s="14" t="n">
        <v>0</v>
      </c>
      <c r="AZ44" s="12" t="inlineStr">
        <is>
          <t>60126015
60126026</t>
        </is>
      </c>
      <c r="BA44" s="14">
        <f>SUM(N44:AY44)</f>
        <v/>
      </c>
      <c r="BB44" s="15">
        <f>BA44*14.0</f>
        <v/>
      </c>
      <c r="BC44" s="15">
        <f>(BA44*3.5*14.0*14.0)/12</f>
        <v/>
      </c>
      <c r="BD44" s="16">
        <f>BB44*I44</f>
        <v/>
      </c>
      <c r="BE44" s="16">
        <f>BD44*1.06</f>
        <v/>
      </c>
      <c r="BF44" s="14">
        <f>H44-BA44</f>
        <v/>
      </c>
      <c r="BG44" s="15">
        <f>BF44*14.0</f>
        <v/>
      </c>
      <c r="BH44" s="15" t="n">
        <v>0</v>
      </c>
      <c r="BI44" s="16">
        <f>BG44*I44</f>
        <v/>
      </c>
      <c r="BJ44" s="16">
        <f>BI44*1.06</f>
        <v/>
      </c>
      <c r="BK44" s="15" t="n">
        <v>0</v>
      </c>
      <c r="BL44" s="15">
        <f>BB44-BK44</f>
        <v/>
      </c>
      <c r="BM44" s="16">
        <f>BL44*I44</f>
        <v/>
      </c>
    </row>
    <row r="45">
      <c r="A45" s="12" t="inlineStr">
        <is>
          <t>LVL</t>
        </is>
      </c>
      <c r="B45" s="13" t="inlineStr">
        <is>
          <t>3-1/2X11-7/8 GLULAM BEAM 6/12' (CO#014)</t>
        </is>
      </c>
      <c r="C45" s="12" t="n">
        <v>3.5</v>
      </c>
      <c r="D45" s="12" t="n">
        <v>11.875</v>
      </c>
      <c r="E45" s="12" t="n">
        <v>12</v>
      </c>
      <c r="F45" s="14" t="n">
        <v>0</v>
      </c>
      <c r="G45" s="14" t="n">
        <v>6</v>
      </c>
      <c r="H45" s="14">
        <f>F45+G45</f>
        <v/>
      </c>
      <c r="I45" s="15" t="n">
        <v>19.45</v>
      </c>
      <c r="J45" s="15">
        <f>H45*12.0</f>
        <v/>
      </c>
      <c r="K45" s="15" t="n">
        <v>0</v>
      </c>
      <c r="L45" s="16">
        <f>J45*I45</f>
        <v/>
      </c>
      <c r="M45" s="16">
        <f>L45*1.06</f>
        <v/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0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>
        <v>0</v>
      </c>
      <c r="AN45" s="14" t="n">
        <v>0</v>
      </c>
      <c r="AO45" s="14" t="n">
        <v>0</v>
      </c>
      <c r="AP45" s="14" t="n">
        <v>0</v>
      </c>
      <c r="AQ45" s="14" t="n">
        <v>0</v>
      </c>
      <c r="AR45" s="14" t="n">
        <v>0</v>
      </c>
      <c r="AS45" s="14" t="n">
        <v>0</v>
      </c>
      <c r="AT45" s="14" t="n">
        <v>0</v>
      </c>
      <c r="AU45" s="14" t="n">
        <v>0</v>
      </c>
      <c r="AV45" s="14" t="n">
        <v>0</v>
      </c>
      <c r="AW45" s="14" t="n">
        <v>0</v>
      </c>
      <c r="AX45" s="14" t="n">
        <v>0</v>
      </c>
      <c r="AY45" s="14" t="n">
        <v>0</v>
      </c>
      <c r="AZ45" s="12" t="inlineStr"/>
      <c r="BA45" s="14">
        <f>SUM(N45:AY45)</f>
        <v/>
      </c>
      <c r="BB45" s="15">
        <f>BA45*12.0</f>
        <v/>
      </c>
      <c r="BC45" s="15">
        <f>(BA45*3.5*11.875*12.0)/12</f>
        <v/>
      </c>
      <c r="BD45" s="16">
        <f>BB45*I45</f>
        <v/>
      </c>
      <c r="BE45" s="16">
        <f>BD45*1.06</f>
        <v/>
      </c>
      <c r="BF45" s="14">
        <f>H45-BA45</f>
        <v/>
      </c>
      <c r="BG45" s="15">
        <f>BF45*12.0</f>
        <v/>
      </c>
      <c r="BH45" s="15" t="n">
        <v>0</v>
      </c>
      <c r="BI45" s="16">
        <f>BG45*I45</f>
        <v/>
      </c>
      <c r="BJ45" s="16">
        <f>BI45*1.06</f>
        <v/>
      </c>
      <c r="BK45" s="15" t="n">
        <v>0</v>
      </c>
      <c r="BL45" s="15">
        <f>BB45-BK45</f>
        <v/>
      </c>
      <c r="BM45" s="16">
        <f>BL45*I45</f>
        <v/>
      </c>
    </row>
    <row r="46" ht="18" customHeight="1">
      <c r="A46" s="17" t="inlineStr">
        <is>
          <t>LVL SUBTOTAL</t>
        </is>
      </c>
      <c r="B46" s="18" t="inlineStr"/>
      <c r="C46" s="18" t="inlineStr"/>
      <c r="D46" s="18" t="inlineStr"/>
      <c r="E46" s="18" t="inlineStr"/>
      <c r="F46" s="19">
        <f>SUM(F40:F45)</f>
        <v/>
      </c>
      <c r="G46" s="19">
        <f>SUM(G40:G45)</f>
        <v/>
      </c>
      <c r="H46" s="19">
        <f>SUM(H40:H45)</f>
        <v/>
      </c>
      <c r="I46" s="18" t="inlineStr"/>
      <c r="J46" s="20">
        <f>SUM(J40:J45)</f>
        <v/>
      </c>
      <c r="K46" s="20">
        <f>SUM(K40:K45)</f>
        <v/>
      </c>
      <c r="L46" s="21">
        <f>SUM(L40:L45)</f>
        <v/>
      </c>
      <c r="M46" s="21">
        <f>SUM(M40:M45)</f>
        <v/>
      </c>
      <c r="N46" s="18">
        <f>SUM(N40:N45)</f>
        <v/>
      </c>
      <c r="O46" s="18">
        <f>SUM(O40:O45)</f>
        <v/>
      </c>
      <c r="P46" s="18">
        <f>SUM(P40:P45)</f>
        <v/>
      </c>
      <c r="Q46" s="18">
        <f>SUM(Q40:Q45)</f>
        <v/>
      </c>
      <c r="R46" s="18">
        <f>SUM(R40:R45)</f>
        <v/>
      </c>
      <c r="S46" s="18">
        <f>SUM(S40:S45)</f>
        <v/>
      </c>
      <c r="T46" s="18">
        <f>SUM(T40:T45)</f>
        <v/>
      </c>
      <c r="U46" s="18">
        <f>SUM(U40:U45)</f>
        <v/>
      </c>
      <c r="V46" s="18">
        <f>SUM(V40:V45)</f>
        <v/>
      </c>
      <c r="W46" s="18">
        <f>SUM(W40:W45)</f>
        <v/>
      </c>
      <c r="X46" s="18">
        <f>SUM(X40:X45)</f>
        <v/>
      </c>
      <c r="Y46" s="18">
        <f>SUM(Y40:Y45)</f>
        <v/>
      </c>
      <c r="Z46" s="18">
        <f>SUM(Z40:Z45)</f>
        <v/>
      </c>
      <c r="AA46" s="18">
        <f>SUM(AA40:AA45)</f>
        <v/>
      </c>
      <c r="AB46" s="18">
        <f>SUM(AB40:AB45)</f>
        <v/>
      </c>
      <c r="AC46" s="18">
        <f>SUM(AC40:AC45)</f>
        <v/>
      </c>
      <c r="AD46" s="18">
        <f>SUM(AD40:AD45)</f>
        <v/>
      </c>
      <c r="AE46" s="18">
        <f>SUM(AE40:AE45)</f>
        <v/>
      </c>
      <c r="AF46" s="18">
        <f>SUM(AF40:AF45)</f>
        <v/>
      </c>
      <c r="AG46" s="18">
        <f>SUM(AG40:AG45)</f>
        <v/>
      </c>
      <c r="AH46" s="18">
        <f>SUM(AH40:AH45)</f>
        <v/>
      </c>
      <c r="AI46" s="18">
        <f>SUM(AI40:AI45)</f>
        <v/>
      </c>
      <c r="AJ46" s="18">
        <f>SUM(AJ40:AJ45)</f>
        <v/>
      </c>
      <c r="AK46" s="18">
        <f>SUM(AK40:AK45)</f>
        <v/>
      </c>
      <c r="AL46" s="18">
        <f>SUM(AL40:AL45)</f>
        <v/>
      </c>
      <c r="AM46" s="18">
        <f>SUM(AM40:AM45)</f>
        <v/>
      </c>
      <c r="AN46" s="18">
        <f>SUM(AN40:AN45)</f>
        <v/>
      </c>
      <c r="AO46" s="18">
        <f>SUM(AO40:AO45)</f>
        <v/>
      </c>
      <c r="AP46" s="18">
        <f>SUM(AP40:AP45)</f>
        <v/>
      </c>
      <c r="AQ46" s="18">
        <f>SUM(AQ40:AQ45)</f>
        <v/>
      </c>
      <c r="AR46" s="18">
        <f>SUM(AR40:AR45)</f>
        <v/>
      </c>
      <c r="AS46" s="18">
        <f>SUM(AS40:AS45)</f>
        <v/>
      </c>
      <c r="AT46" s="18">
        <f>SUM(AT40:AT45)</f>
        <v/>
      </c>
      <c r="AU46" s="18">
        <f>SUM(AU40:AU45)</f>
        <v/>
      </c>
      <c r="AV46" s="18">
        <f>SUM(AV40:AV45)</f>
        <v/>
      </c>
      <c r="AW46" s="18">
        <f>SUM(AW40:AW45)</f>
        <v/>
      </c>
      <c r="AX46" s="18">
        <f>SUM(AX40:AX45)</f>
        <v/>
      </c>
      <c r="AY46" s="18">
        <f>SUM(AY40:AY45)</f>
        <v/>
      </c>
      <c r="AZ46" s="18" t="inlineStr"/>
      <c r="BA46" s="19">
        <f>SUM(BA40:BA45)</f>
        <v/>
      </c>
      <c r="BB46" s="20">
        <f>SUM(BB40:BB45)</f>
        <v/>
      </c>
      <c r="BC46" s="20">
        <f>SUM(BC40:BC45)</f>
        <v/>
      </c>
      <c r="BD46" s="21">
        <f>SUM(BD40:BD45)</f>
        <v/>
      </c>
      <c r="BE46" s="21">
        <f>SUM(BE40:BE45)</f>
        <v/>
      </c>
      <c r="BF46" s="19">
        <f>SUM(BF40:BF45)</f>
        <v/>
      </c>
      <c r="BG46" s="20">
        <f>SUM(BG40:BG45)</f>
        <v/>
      </c>
      <c r="BH46" s="20">
        <f>SUM(BH40:BH45)</f>
        <v/>
      </c>
      <c r="BI46" s="21">
        <f>SUM(BI40:BI45)</f>
        <v/>
      </c>
      <c r="BJ46" s="21">
        <f>SUM(BJ40:BJ45)</f>
        <v/>
      </c>
      <c r="BK46" s="20">
        <f>SUM(BK40:BK45)</f>
        <v/>
      </c>
      <c r="BL46" s="20">
        <f>SUM(BL40:BL45)</f>
        <v/>
      </c>
      <c r="BM46" s="21">
        <f>SUM(BM40:BM45)</f>
        <v/>
      </c>
    </row>
    <row r="47" ht="5" customHeight="1"/>
    <row r="48">
      <c r="A48" s="22" t="inlineStr">
        <is>
          <t>Each</t>
        </is>
      </c>
      <c r="B48" s="23" t="inlineStr">
        <is>
          <t>SUBFLOOR ADHESIVE</t>
        </is>
      </c>
      <c r="C48" s="22" t="inlineStr"/>
      <c r="D48" s="22" t="inlineStr"/>
      <c r="E48" s="22" t="inlineStr"/>
      <c r="F48" s="24" t="n">
        <v>515</v>
      </c>
      <c r="G48" s="24" t="n">
        <v>0</v>
      </c>
      <c r="H48" s="24">
        <f>F48+G48</f>
        <v/>
      </c>
      <c r="I48" s="25" t="n">
        <v>5.5</v>
      </c>
      <c r="J48" s="25" t="n">
        <v>0</v>
      </c>
      <c r="K48" s="25" t="n">
        <v>0</v>
      </c>
      <c r="L48" s="26">
        <f>H48*I48</f>
        <v/>
      </c>
      <c r="M48" s="26">
        <f>L48*1.06</f>
        <v/>
      </c>
      <c r="N48" s="24" t="n">
        <v>0</v>
      </c>
      <c r="O48" s="24" t="n">
        <v>0</v>
      </c>
      <c r="P48" s="24" t="n">
        <v>0</v>
      </c>
      <c r="Q48" s="24" t="n">
        <v>0</v>
      </c>
      <c r="R48" s="24" t="n">
        <v>0</v>
      </c>
      <c r="S48" s="24" t="n">
        <v>0</v>
      </c>
      <c r="T48" s="24" t="n">
        <v>0</v>
      </c>
      <c r="U48" s="24" t="n">
        <v>516</v>
      </c>
      <c r="V48" s="24" t="n">
        <v>0</v>
      </c>
      <c r="W48" s="24" t="n">
        <v>0</v>
      </c>
      <c r="X48" s="24" t="n">
        <v>0</v>
      </c>
      <c r="Y48" s="24" t="n">
        <v>0</v>
      </c>
      <c r="Z48" s="24" t="n">
        <v>0</v>
      </c>
      <c r="AA48" s="24" t="n">
        <v>0</v>
      </c>
      <c r="AB48" s="24" t="n">
        <v>0</v>
      </c>
      <c r="AC48" s="24" t="n">
        <v>0</v>
      </c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0</v>
      </c>
      <c r="AS48" s="24" t="n">
        <v>0</v>
      </c>
      <c r="AT48" s="24" t="n">
        <v>0</v>
      </c>
      <c r="AU48" s="24" t="n">
        <v>0</v>
      </c>
      <c r="AV48" s="24" t="n">
        <v>0</v>
      </c>
      <c r="AW48" s="24" t="n">
        <v>0</v>
      </c>
      <c r="AX48" s="24" t="n">
        <v>0</v>
      </c>
      <c r="AY48" s="24" t="n">
        <v>0</v>
      </c>
      <c r="AZ48" s="22" t="inlineStr">
        <is>
          <t>60126008</t>
        </is>
      </c>
      <c r="BA48" s="24">
        <f>SUM(N48:AY48)</f>
        <v/>
      </c>
      <c r="BB48" s="25" t="n">
        <v>0</v>
      </c>
      <c r="BC48" s="25" t="n">
        <v>0</v>
      </c>
      <c r="BD48" s="26">
        <f>BA48*I48</f>
        <v/>
      </c>
      <c r="BE48" s="26">
        <f>BD48*1.06</f>
        <v/>
      </c>
      <c r="BF48" s="24">
        <f>H48-BA48</f>
        <v/>
      </c>
      <c r="BG48" s="25" t="n">
        <v>0</v>
      </c>
      <c r="BH48" s="25" t="n">
        <v>0</v>
      </c>
      <c r="BI48" s="26">
        <f>BF48*I48</f>
        <v/>
      </c>
      <c r="BJ48" s="26">
        <f>BI48*1.06</f>
        <v/>
      </c>
      <c r="BK48" s="25" t="n">
        <v>0</v>
      </c>
      <c r="BL48" s="25" t="n">
        <v>0</v>
      </c>
      <c r="BM48" s="26" t="n">
        <v>0</v>
      </c>
    </row>
    <row r="49">
      <c r="A49" s="22" t="inlineStr">
        <is>
          <t>Each</t>
        </is>
      </c>
      <c r="B49" s="23" t="inlineStr">
        <is>
          <t>4" Sill Sealer</t>
        </is>
      </c>
      <c r="C49" s="22" t="inlineStr"/>
      <c r="D49" s="22" t="inlineStr"/>
      <c r="E49" s="22" t="inlineStr"/>
      <c r="F49" s="24" t="n">
        <v>49</v>
      </c>
      <c r="G49" s="24" t="n">
        <v>0</v>
      </c>
      <c r="H49" s="24">
        <f>F49+G49</f>
        <v/>
      </c>
      <c r="I49" s="25" t="n">
        <v>7.25</v>
      </c>
      <c r="J49" s="25" t="n">
        <v>0</v>
      </c>
      <c r="K49" s="25" t="n">
        <v>0</v>
      </c>
      <c r="L49" s="26">
        <f>H49*I49</f>
        <v/>
      </c>
      <c r="M49" s="26">
        <f>L49*1.06</f>
        <v/>
      </c>
      <c r="N49" s="24" t="n">
        <v>0</v>
      </c>
      <c r="O49" s="24" t="n">
        <v>0</v>
      </c>
      <c r="P49" s="24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s="24" t="n">
        <v>49</v>
      </c>
      <c r="V49" s="24" t="n">
        <v>0</v>
      </c>
      <c r="W49" s="24" t="n">
        <v>0</v>
      </c>
      <c r="X49" s="24" t="n">
        <v>0</v>
      </c>
      <c r="Y49" s="24" t="n">
        <v>0</v>
      </c>
      <c r="Z49" s="24" t="n">
        <v>0</v>
      </c>
      <c r="AA49" s="24" t="n">
        <v>0</v>
      </c>
      <c r="AB49" s="24" t="n">
        <v>0</v>
      </c>
      <c r="AC49" s="24" t="n">
        <v>0</v>
      </c>
      <c r="AD49" s="24" t="n">
        <v>0</v>
      </c>
      <c r="AE49" s="24" t="n">
        <v>0</v>
      </c>
      <c r="AF49" s="24" t="n">
        <v>0</v>
      </c>
      <c r="AG49" s="24" t="n">
        <v>0</v>
      </c>
      <c r="AH49" s="24" t="n">
        <v>0</v>
      </c>
      <c r="AI49" s="24" t="n">
        <v>0</v>
      </c>
      <c r="AJ49" s="24" t="n">
        <v>0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0</v>
      </c>
      <c r="AS49" s="24" t="n">
        <v>0</v>
      </c>
      <c r="AT49" s="24" t="n">
        <v>0</v>
      </c>
      <c r="AU49" s="24" t="n">
        <v>0</v>
      </c>
      <c r="AV49" s="24" t="n">
        <v>0</v>
      </c>
      <c r="AW49" s="24" t="n">
        <v>0</v>
      </c>
      <c r="AX49" s="24" t="n">
        <v>0</v>
      </c>
      <c r="AY49" s="24" t="n">
        <v>0</v>
      </c>
      <c r="AZ49" s="22" t="inlineStr">
        <is>
          <t>60126008</t>
        </is>
      </c>
      <c r="BA49" s="24">
        <f>SUM(N49:AY49)</f>
        <v/>
      </c>
      <c r="BB49" s="25" t="n">
        <v>0</v>
      </c>
      <c r="BC49" s="25" t="n">
        <v>0</v>
      </c>
      <c r="BD49" s="26">
        <f>BA49*I49</f>
        <v/>
      </c>
      <c r="BE49" s="26">
        <f>BD49*1.06</f>
        <v/>
      </c>
      <c r="BF49" s="24">
        <f>H49-BA49</f>
        <v/>
      </c>
      <c r="BG49" s="25" t="n">
        <v>0</v>
      </c>
      <c r="BH49" s="25" t="n">
        <v>0</v>
      </c>
      <c r="BI49" s="26">
        <f>BF49*I49</f>
        <v/>
      </c>
      <c r="BJ49" s="26">
        <f>BI49*1.06</f>
        <v/>
      </c>
      <c r="BK49" s="25" t="n">
        <v>0</v>
      </c>
      <c r="BL49" s="25" t="n">
        <v>0</v>
      </c>
      <c r="BM49" s="26" t="n">
        <v>0</v>
      </c>
    </row>
    <row r="50">
      <c r="A50" s="22" t="inlineStr">
        <is>
          <t>Each</t>
        </is>
      </c>
      <c r="B50" s="23" t="inlineStr">
        <is>
          <t>6" Sill Sealer</t>
        </is>
      </c>
      <c r="C50" s="22" t="inlineStr"/>
      <c r="D50" s="22" t="inlineStr"/>
      <c r="E50" s="22" t="inlineStr"/>
      <c r="F50" s="24" t="n">
        <v>58</v>
      </c>
      <c r="G50" s="24" t="n">
        <v>0</v>
      </c>
      <c r="H50" s="24">
        <f>F50+G50</f>
        <v/>
      </c>
      <c r="I50" s="25" t="n">
        <v>7.25</v>
      </c>
      <c r="J50" s="25" t="n">
        <v>0</v>
      </c>
      <c r="K50" s="25" t="n">
        <v>0</v>
      </c>
      <c r="L50" s="26">
        <f>H50*I50</f>
        <v/>
      </c>
      <c r="M50" s="26">
        <f>L50*1.06</f>
        <v/>
      </c>
      <c r="N50" s="24" t="n">
        <v>0</v>
      </c>
      <c r="O50" s="24" t="n">
        <v>0</v>
      </c>
      <c r="P50" s="24" t="n">
        <v>0</v>
      </c>
      <c r="Q50" s="24" t="n">
        <v>0</v>
      </c>
      <c r="R50" s="24" t="n">
        <v>0</v>
      </c>
      <c r="S50" s="24" t="n">
        <v>0</v>
      </c>
      <c r="T50" s="24" t="n">
        <v>0</v>
      </c>
      <c r="U50" s="24" t="n">
        <v>58</v>
      </c>
      <c r="V50" s="24" t="n">
        <v>0</v>
      </c>
      <c r="W50" s="24" t="n">
        <v>0</v>
      </c>
      <c r="X50" s="24" t="n">
        <v>0</v>
      </c>
      <c r="Y50" s="24" t="n">
        <v>0</v>
      </c>
      <c r="Z50" s="24" t="n">
        <v>0</v>
      </c>
      <c r="AA50" s="24" t="n">
        <v>0</v>
      </c>
      <c r="AB50" s="24" t="n">
        <v>0</v>
      </c>
      <c r="AC50" s="24" t="n">
        <v>0</v>
      </c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2" t="inlineStr">
        <is>
          <t>60126008</t>
        </is>
      </c>
      <c r="BA50" s="24">
        <f>SUM(N50:AY50)</f>
        <v/>
      </c>
      <c r="BB50" s="25" t="n">
        <v>0</v>
      </c>
      <c r="BC50" s="25" t="n">
        <v>0</v>
      </c>
      <c r="BD50" s="26">
        <f>BA50*I50</f>
        <v/>
      </c>
      <c r="BE50" s="26">
        <f>BD50*1.06</f>
        <v/>
      </c>
      <c r="BF50" s="24">
        <f>H50-BA50</f>
        <v/>
      </c>
      <c r="BG50" s="25" t="n">
        <v>0</v>
      </c>
      <c r="BH50" s="25" t="n">
        <v>0</v>
      </c>
      <c r="BI50" s="26">
        <f>BF50*I50</f>
        <v/>
      </c>
      <c r="BJ50" s="26">
        <f>BI50*1.06</f>
        <v/>
      </c>
      <c r="BK50" s="25" t="n">
        <v>0</v>
      </c>
      <c r="BL50" s="25" t="n">
        <v>0</v>
      </c>
      <c r="BM50" s="26" t="n">
        <v>0</v>
      </c>
    </row>
    <row r="51">
      <c r="A51" s="22" t="inlineStr">
        <is>
          <t>Each</t>
        </is>
      </c>
      <c r="B51" s="23" t="inlineStr">
        <is>
          <t>8" Sill Sealer</t>
        </is>
      </c>
      <c r="C51" s="22" t="inlineStr"/>
      <c r="D51" s="22" t="inlineStr"/>
      <c r="E51" s="22" t="inlineStr"/>
      <c r="F51" s="24" t="n">
        <v>9</v>
      </c>
      <c r="G51" s="24" t="n">
        <v>0</v>
      </c>
      <c r="H51" s="24">
        <f>F51+G51</f>
        <v/>
      </c>
      <c r="I51" s="25" t="n">
        <v>7.25</v>
      </c>
      <c r="J51" s="25" t="n">
        <v>0</v>
      </c>
      <c r="K51" s="25" t="n">
        <v>0</v>
      </c>
      <c r="L51" s="26">
        <f>H51*I51</f>
        <v/>
      </c>
      <c r="M51" s="26">
        <f>L51*1.06</f>
        <v/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0</v>
      </c>
      <c r="U51" s="24" t="n">
        <v>16</v>
      </c>
      <c r="V51" s="24" t="n">
        <v>0</v>
      </c>
      <c r="W51" s="24" t="n">
        <v>0</v>
      </c>
      <c r="X51" s="24" t="n">
        <v>0</v>
      </c>
      <c r="Y51" s="24" t="n">
        <v>0</v>
      </c>
      <c r="Z51" s="24" t="n">
        <v>0</v>
      </c>
      <c r="AA51" s="24" t="n">
        <v>0</v>
      </c>
      <c r="AB51" s="24" t="n">
        <v>0</v>
      </c>
      <c r="AC51" s="24" t="n">
        <v>0</v>
      </c>
      <c r="AD51" s="24" t="n">
        <v>0</v>
      </c>
      <c r="AE51" s="24" t="n">
        <v>0</v>
      </c>
      <c r="AF51" s="24" t="n">
        <v>0</v>
      </c>
      <c r="AG51" s="24" t="n">
        <v>0</v>
      </c>
      <c r="AH51" s="24" t="n">
        <v>0</v>
      </c>
      <c r="AI51" s="24" t="n">
        <v>0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2" t="inlineStr">
        <is>
          <t>60126008</t>
        </is>
      </c>
      <c r="BA51" s="24">
        <f>SUM(N51:AY51)</f>
        <v/>
      </c>
      <c r="BB51" s="25" t="n">
        <v>0</v>
      </c>
      <c r="BC51" s="25" t="n">
        <v>0</v>
      </c>
      <c r="BD51" s="26">
        <f>BA51*I51</f>
        <v/>
      </c>
      <c r="BE51" s="26">
        <f>BD51*1.06</f>
        <v/>
      </c>
      <c r="BF51" s="24">
        <f>H51-BA51</f>
        <v/>
      </c>
      <c r="BG51" s="25" t="n">
        <v>0</v>
      </c>
      <c r="BH51" s="25" t="n">
        <v>0</v>
      </c>
      <c r="BI51" s="26">
        <f>BF51*I51</f>
        <v/>
      </c>
      <c r="BJ51" s="26">
        <f>BI51*1.06</f>
        <v/>
      </c>
      <c r="BK51" s="25" t="n">
        <v>0</v>
      </c>
      <c r="BL51" s="25" t="n">
        <v>0</v>
      </c>
      <c r="BM51" s="26" t="n">
        <v>0</v>
      </c>
    </row>
    <row r="52">
      <c r="A52" s="22" t="inlineStr">
        <is>
          <t>Each</t>
        </is>
      </c>
      <c r="B52" s="23" t="inlineStr">
        <is>
          <t>6" ZIP TAPE</t>
        </is>
      </c>
      <c r="C52" s="22" t="inlineStr"/>
      <c r="D52" s="22" t="inlineStr"/>
      <c r="E52" s="22" t="inlineStr"/>
      <c r="F52" s="24" t="n">
        <v>60</v>
      </c>
      <c r="G52" s="24" t="n">
        <v>0</v>
      </c>
      <c r="H52" s="24">
        <f>F52+G52</f>
        <v/>
      </c>
      <c r="I52" s="25" t="n">
        <v>42</v>
      </c>
      <c r="J52" s="25" t="n">
        <v>0</v>
      </c>
      <c r="K52" s="25" t="n">
        <v>0</v>
      </c>
      <c r="L52" s="26">
        <f>H52*I52</f>
        <v/>
      </c>
      <c r="M52" s="26">
        <f>L52*1.06</f>
        <v/>
      </c>
      <c r="N52" s="24" t="n">
        <v>0</v>
      </c>
      <c r="O52" s="24" t="n">
        <v>0</v>
      </c>
      <c r="P52" s="24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4" t="n">
        <v>0</v>
      </c>
      <c r="Y52" s="24" t="n">
        <v>0</v>
      </c>
      <c r="Z52" s="24" t="n">
        <v>0</v>
      </c>
      <c r="AA52" s="24" t="n">
        <v>0</v>
      </c>
      <c r="AB52" s="24" t="n">
        <v>0</v>
      </c>
      <c r="AC52" s="24" t="n">
        <v>0</v>
      </c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0</v>
      </c>
      <c r="AS52" s="24" t="n">
        <v>0</v>
      </c>
      <c r="AT52" s="24" t="n">
        <v>0</v>
      </c>
      <c r="AU52" s="24" t="n">
        <v>0</v>
      </c>
      <c r="AV52" s="24" t="n">
        <v>0</v>
      </c>
      <c r="AW52" s="24" t="n">
        <v>0</v>
      </c>
      <c r="AX52" s="24" t="n">
        <v>0</v>
      </c>
      <c r="AY52" s="24" t="n">
        <v>0</v>
      </c>
      <c r="AZ52" s="22" t="inlineStr"/>
      <c r="BA52" s="24">
        <f>SUM(N52:AY52)</f>
        <v/>
      </c>
      <c r="BB52" s="25" t="n">
        <v>0</v>
      </c>
      <c r="BC52" s="25" t="n">
        <v>0</v>
      </c>
      <c r="BD52" s="26">
        <f>BA52*I52</f>
        <v/>
      </c>
      <c r="BE52" s="26">
        <f>BD52*1.06</f>
        <v/>
      </c>
      <c r="BF52" s="24">
        <f>H52-BA52</f>
        <v/>
      </c>
      <c r="BG52" s="25" t="n">
        <v>0</v>
      </c>
      <c r="BH52" s="25" t="n">
        <v>0</v>
      </c>
      <c r="BI52" s="26">
        <f>BF52*I52</f>
        <v/>
      </c>
      <c r="BJ52" s="26">
        <f>BI52*1.06</f>
        <v/>
      </c>
      <c r="BK52" s="25" t="n">
        <v>0</v>
      </c>
      <c r="BL52" s="25" t="n">
        <v>0</v>
      </c>
      <c r="BM52" s="26" t="n">
        <v>0</v>
      </c>
    </row>
    <row r="53">
      <c r="A53" s="22" t="inlineStr">
        <is>
          <t>Each</t>
        </is>
      </c>
      <c r="B53" s="23" t="inlineStr">
        <is>
          <t>4" SEAM TAPE</t>
        </is>
      </c>
      <c r="C53" s="22" t="inlineStr"/>
      <c r="D53" s="22" t="inlineStr"/>
      <c r="E53" s="22" t="inlineStr"/>
      <c r="F53" s="24" t="n">
        <v>384</v>
      </c>
      <c r="G53" s="24" t="n">
        <v>0</v>
      </c>
      <c r="H53" s="24">
        <f>F53+G53</f>
        <v/>
      </c>
      <c r="I53" s="25" t="n">
        <v>26</v>
      </c>
      <c r="J53" s="25" t="n">
        <v>0</v>
      </c>
      <c r="K53" s="25" t="n">
        <v>0</v>
      </c>
      <c r="L53" s="26">
        <f>H53*I53</f>
        <v/>
      </c>
      <c r="M53" s="26">
        <f>L53*1.06</f>
        <v/>
      </c>
      <c r="N53" s="24" t="n">
        <v>0</v>
      </c>
      <c r="O53" s="24" t="n">
        <v>0</v>
      </c>
      <c r="P53" s="24" t="n">
        <v>0</v>
      </c>
      <c r="Q53" s="24" t="n">
        <v>0</v>
      </c>
      <c r="R53" s="24" t="n">
        <v>0</v>
      </c>
      <c r="S53" s="24" t="n">
        <v>0</v>
      </c>
      <c r="T53" s="24" t="n">
        <v>0</v>
      </c>
      <c r="U53" s="24" t="n">
        <v>0</v>
      </c>
      <c r="V53" s="24" t="n">
        <v>0</v>
      </c>
      <c r="W53" s="24" t="n">
        <v>0</v>
      </c>
      <c r="X53" s="24" t="n">
        <v>0</v>
      </c>
      <c r="Y53" s="24" t="n">
        <v>0</v>
      </c>
      <c r="Z53" s="24" t="n">
        <v>0</v>
      </c>
      <c r="AA53" s="24" t="n">
        <v>0</v>
      </c>
      <c r="AB53" s="24" t="n">
        <v>0</v>
      </c>
      <c r="AC53" s="24" t="n">
        <v>0</v>
      </c>
      <c r="AD53" s="24" t="n">
        <v>0</v>
      </c>
      <c r="AE53" s="24" t="n">
        <v>0</v>
      </c>
      <c r="AF53" s="24" t="n">
        <v>0</v>
      </c>
      <c r="AG53" s="24" t="n">
        <v>0</v>
      </c>
      <c r="AH53" s="24" t="n">
        <v>0</v>
      </c>
      <c r="AI53" s="24" t="n">
        <v>0</v>
      </c>
      <c r="AJ53" s="24" t="n">
        <v>0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0</v>
      </c>
      <c r="AT53" s="24" t="n">
        <v>0</v>
      </c>
      <c r="AU53" s="24" t="n">
        <v>0</v>
      </c>
      <c r="AV53" s="24" t="n">
        <v>0</v>
      </c>
      <c r="AW53" s="24" t="n">
        <v>0</v>
      </c>
      <c r="AX53" s="24" t="n">
        <v>0</v>
      </c>
      <c r="AY53" s="24" t="n">
        <v>0</v>
      </c>
      <c r="AZ53" s="22" t="inlineStr"/>
      <c r="BA53" s="24">
        <f>SUM(N53:AY53)</f>
        <v/>
      </c>
      <c r="BB53" s="25" t="n">
        <v>0</v>
      </c>
      <c r="BC53" s="25" t="n">
        <v>0</v>
      </c>
      <c r="BD53" s="26">
        <f>BA53*I53</f>
        <v/>
      </c>
      <c r="BE53" s="26">
        <f>BD53*1.06</f>
        <v/>
      </c>
      <c r="BF53" s="24">
        <f>H53-BA53</f>
        <v/>
      </c>
      <c r="BG53" s="25" t="n">
        <v>0</v>
      </c>
      <c r="BH53" s="25" t="n">
        <v>0</v>
      </c>
      <c r="BI53" s="26">
        <f>BF53*I53</f>
        <v/>
      </c>
      <c r="BJ53" s="26">
        <f>BI53*1.06</f>
        <v/>
      </c>
      <c r="BK53" s="25" t="n">
        <v>0</v>
      </c>
      <c r="BL53" s="25" t="n">
        <v>0</v>
      </c>
      <c r="BM53" s="26" t="n">
        <v>0</v>
      </c>
    </row>
    <row r="54">
      <c r="A54" s="22" t="inlineStr">
        <is>
          <t>Each</t>
        </is>
      </c>
      <c r="B54" s="23" t="inlineStr">
        <is>
          <t>6" CORNER FLASHING ZIP</t>
        </is>
      </c>
      <c r="C54" s="22" t="inlineStr"/>
      <c r="D54" s="22" t="inlineStr"/>
      <c r="E54" s="22" t="inlineStr"/>
      <c r="F54" s="24" t="n">
        <v>28</v>
      </c>
      <c r="G54" s="24" t="n">
        <v>0</v>
      </c>
      <c r="H54" s="24">
        <f>F54+G54</f>
        <v/>
      </c>
      <c r="I54" s="25" t="n">
        <v>35</v>
      </c>
      <c r="J54" s="25" t="n">
        <v>0</v>
      </c>
      <c r="K54" s="25" t="n">
        <v>0</v>
      </c>
      <c r="L54" s="26">
        <f>H54*I54</f>
        <v/>
      </c>
      <c r="M54" s="26">
        <f>L54*1.06</f>
        <v/>
      </c>
      <c r="N54" s="24" t="n">
        <v>0</v>
      </c>
      <c r="O54" s="24" t="n">
        <v>0</v>
      </c>
      <c r="P54" s="24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s="24" t="n">
        <v>0</v>
      </c>
      <c r="V54" s="24" t="n">
        <v>0</v>
      </c>
      <c r="W54" s="24" t="n">
        <v>0</v>
      </c>
      <c r="X54" s="24" t="n">
        <v>0</v>
      </c>
      <c r="Y54" s="24" t="n">
        <v>0</v>
      </c>
      <c r="Z54" s="24" t="n">
        <v>0</v>
      </c>
      <c r="AA54" s="24" t="n">
        <v>0</v>
      </c>
      <c r="AB54" s="24" t="n">
        <v>0</v>
      </c>
      <c r="AC54" s="24" t="n">
        <v>0</v>
      </c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0</v>
      </c>
      <c r="AS54" s="24" t="n">
        <v>0</v>
      </c>
      <c r="AT54" s="24" t="n">
        <v>0</v>
      </c>
      <c r="AU54" s="24" t="n">
        <v>0</v>
      </c>
      <c r="AV54" s="24" t="n">
        <v>0</v>
      </c>
      <c r="AW54" s="24" t="n">
        <v>0</v>
      </c>
      <c r="AX54" s="24" t="n">
        <v>0</v>
      </c>
      <c r="AY54" s="24" t="n">
        <v>0</v>
      </c>
      <c r="AZ54" s="22" t="inlineStr"/>
      <c r="BA54" s="24">
        <f>SUM(N54:AY54)</f>
        <v/>
      </c>
      <c r="BB54" s="25" t="n">
        <v>0</v>
      </c>
      <c r="BC54" s="25" t="n">
        <v>0</v>
      </c>
      <c r="BD54" s="26">
        <f>BA54*I54</f>
        <v/>
      </c>
      <c r="BE54" s="26">
        <f>BD54*1.06</f>
        <v/>
      </c>
      <c r="BF54" s="24">
        <f>H54-BA54</f>
        <v/>
      </c>
      <c r="BG54" s="25" t="n">
        <v>0</v>
      </c>
      <c r="BH54" s="25" t="n">
        <v>0</v>
      </c>
      <c r="BI54" s="26">
        <f>BF54*I54</f>
        <v/>
      </c>
      <c r="BJ54" s="26">
        <f>BI54*1.06</f>
        <v/>
      </c>
      <c r="BK54" s="25" t="n">
        <v>0</v>
      </c>
      <c r="BL54" s="25" t="n">
        <v>0</v>
      </c>
      <c r="BM54" s="26" t="n">
        <v>0</v>
      </c>
    </row>
    <row r="55">
      <c r="A55" s="22" t="inlineStr">
        <is>
          <t>Each</t>
        </is>
      </c>
      <c r="B55" s="23" t="inlineStr">
        <is>
          <t>9" CORNER FLASHING ZIP</t>
        </is>
      </c>
      <c r="C55" s="22" t="inlineStr"/>
      <c r="D55" s="22" t="inlineStr"/>
      <c r="E55" s="22" t="inlineStr"/>
      <c r="F55" s="24" t="n">
        <v>105</v>
      </c>
      <c r="G55" s="24" t="n">
        <v>0</v>
      </c>
      <c r="H55" s="24">
        <f>F55+G55</f>
        <v/>
      </c>
      <c r="I55" s="25" t="n">
        <v>47</v>
      </c>
      <c r="J55" s="25" t="n">
        <v>0</v>
      </c>
      <c r="K55" s="25" t="n">
        <v>0</v>
      </c>
      <c r="L55" s="26">
        <f>H55*I55</f>
        <v/>
      </c>
      <c r="M55" s="26">
        <f>L55*1.06</f>
        <v/>
      </c>
      <c r="N55" s="24" t="n">
        <v>0</v>
      </c>
      <c r="O55" s="24" t="n">
        <v>0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4" t="n">
        <v>0</v>
      </c>
      <c r="Y55" s="24" t="n">
        <v>0</v>
      </c>
      <c r="Z55" s="24" t="n">
        <v>0</v>
      </c>
      <c r="AA55" s="24" t="n">
        <v>0</v>
      </c>
      <c r="AB55" s="24" t="n">
        <v>0</v>
      </c>
      <c r="AC55" s="24" t="n">
        <v>0</v>
      </c>
      <c r="AD55" s="24" t="n">
        <v>0</v>
      </c>
      <c r="AE55" s="24" t="n">
        <v>0</v>
      </c>
      <c r="AF55" s="24" t="n">
        <v>0</v>
      </c>
      <c r="AG55" s="24" t="n">
        <v>0</v>
      </c>
      <c r="AH55" s="24" t="n">
        <v>0</v>
      </c>
      <c r="AI55" s="24" t="n">
        <v>0</v>
      </c>
      <c r="AJ55" s="24" t="n">
        <v>0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0</v>
      </c>
      <c r="AS55" s="24" t="n">
        <v>0</v>
      </c>
      <c r="AT55" s="24" t="n">
        <v>0</v>
      </c>
      <c r="AU55" s="24" t="n">
        <v>0</v>
      </c>
      <c r="AV55" s="24" t="n">
        <v>0</v>
      </c>
      <c r="AW55" s="24" t="n">
        <v>0</v>
      </c>
      <c r="AX55" s="24" t="n">
        <v>0</v>
      </c>
      <c r="AY55" s="24" t="n">
        <v>0</v>
      </c>
      <c r="AZ55" s="22" t="inlineStr"/>
      <c r="BA55" s="24">
        <f>SUM(N55:AY55)</f>
        <v/>
      </c>
      <c r="BB55" s="25" t="n">
        <v>0</v>
      </c>
      <c r="BC55" s="25" t="n">
        <v>0</v>
      </c>
      <c r="BD55" s="26">
        <f>BA55*I55</f>
        <v/>
      </c>
      <c r="BE55" s="26">
        <f>BD55*1.06</f>
        <v/>
      </c>
      <c r="BF55" s="24">
        <f>H55-BA55</f>
        <v/>
      </c>
      <c r="BG55" s="25" t="n">
        <v>0</v>
      </c>
      <c r="BH55" s="25" t="n">
        <v>0</v>
      </c>
      <c r="BI55" s="26">
        <f>BF55*I55</f>
        <v/>
      </c>
      <c r="BJ55" s="26">
        <f>BI55*1.06</f>
        <v/>
      </c>
      <c r="BK55" s="25" t="n">
        <v>0</v>
      </c>
      <c r="BL55" s="25" t="n">
        <v>0</v>
      </c>
      <c r="BM55" s="26" t="n">
        <v>0</v>
      </c>
    </row>
    <row r="56">
      <c r="A56" s="22" t="inlineStr">
        <is>
          <t>Each</t>
        </is>
      </c>
      <c r="B56" s="23" t="inlineStr">
        <is>
          <t>DELIVERY - NO SALES TAX (CO#014)</t>
        </is>
      </c>
      <c r="C56" s="22" t="inlineStr"/>
      <c r="D56" s="22" t="inlineStr"/>
      <c r="E56" s="22" t="inlineStr"/>
      <c r="F56" s="24" t="n">
        <v>0</v>
      </c>
      <c r="G56" s="24" t="n">
        <v>1</v>
      </c>
      <c r="H56" s="24">
        <f>F56+G56</f>
        <v/>
      </c>
      <c r="I56" s="25" t="n">
        <v>800</v>
      </c>
      <c r="J56" s="25" t="n">
        <v>0</v>
      </c>
      <c r="K56" s="25" t="n">
        <v>0</v>
      </c>
      <c r="L56" s="26">
        <f>H56*I56</f>
        <v/>
      </c>
      <c r="M56" s="26">
        <f>L56*1.06</f>
        <v/>
      </c>
      <c r="N56" s="24" t="n">
        <v>0</v>
      </c>
      <c r="O56" s="24" t="n">
        <v>0</v>
      </c>
      <c r="P56" s="24" t="n">
        <v>0</v>
      </c>
      <c r="Q56" s="24" t="n">
        <v>0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  <c r="Z56" s="24" t="n">
        <v>0</v>
      </c>
      <c r="AA56" s="24" t="n">
        <v>0</v>
      </c>
      <c r="AB56" s="24" t="n">
        <v>0</v>
      </c>
      <c r="AC56" s="24" t="n">
        <v>0</v>
      </c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0</v>
      </c>
      <c r="AS56" s="24" t="n">
        <v>0</v>
      </c>
      <c r="AT56" s="24" t="n">
        <v>0</v>
      </c>
      <c r="AU56" s="24" t="n">
        <v>0</v>
      </c>
      <c r="AV56" s="24" t="n">
        <v>0</v>
      </c>
      <c r="AW56" s="24" t="n">
        <v>0</v>
      </c>
      <c r="AX56" s="24" t="n">
        <v>0</v>
      </c>
      <c r="AY56" s="24" t="n">
        <v>0</v>
      </c>
      <c r="AZ56" s="22" t="inlineStr"/>
      <c r="BA56" s="24">
        <f>SUM(N56:AY56)</f>
        <v/>
      </c>
      <c r="BB56" s="25" t="n">
        <v>0</v>
      </c>
      <c r="BC56" s="25" t="n">
        <v>0</v>
      </c>
      <c r="BD56" s="26">
        <f>BA56*I56</f>
        <v/>
      </c>
      <c r="BE56" s="26">
        <f>BD56*1.06</f>
        <v/>
      </c>
      <c r="BF56" s="24">
        <f>H56-BA56</f>
        <v/>
      </c>
      <c r="BG56" s="25" t="n">
        <v>0</v>
      </c>
      <c r="BH56" s="25" t="n">
        <v>0</v>
      </c>
      <c r="BI56" s="26">
        <f>BF56*I56</f>
        <v/>
      </c>
      <c r="BJ56" s="26">
        <f>BI56*1.06</f>
        <v/>
      </c>
      <c r="BK56" s="25" t="n">
        <v>0</v>
      </c>
      <c r="BL56" s="25" t="n">
        <v>0</v>
      </c>
      <c r="BM56" s="26" t="n">
        <v>0</v>
      </c>
    </row>
    <row r="57" ht="18" customHeight="1">
      <c r="A57" s="27" t="inlineStr">
        <is>
          <t>EACH SUBTOTAL</t>
        </is>
      </c>
      <c r="B57" s="28" t="inlineStr"/>
      <c r="C57" s="28" t="inlineStr"/>
      <c r="D57" s="28" t="inlineStr"/>
      <c r="E57" s="28" t="inlineStr"/>
      <c r="F57" s="29">
        <f>SUM(F48:F56)</f>
        <v/>
      </c>
      <c r="G57" s="29">
        <f>SUM(G48:G56)</f>
        <v/>
      </c>
      <c r="H57" s="29">
        <f>SUM(H48:H56)</f>
        <v/>
      </c>
      <c r="I57" s="28" t="inlineStr"/>
      <c r="J57" s="30">
        <f>SUM(J48:J56)</f>
        <v/>
      </c>
      <c r="K57" s="30">
        <f>SUM(K48:K56)</f>
        <v/>
      </c>
      <c r="L57" s="31">
        <f>SUM(L48:L56)</f>
        <v/>
      </c>
      <c r="M57" s="31">
        <f>SUM(M48:M56)</f>
        <v/>
      </c>
      <c r="N57" s="28">
        <f>SUM(N48:N56)</f>
        <v/>
      </c>
      <c r="O57" s="28">
        <f>SUM(O48:O56)</f>
        <v/>
      </c>
      <c r="P57" s="28">
        <f>SUM(P48:P56)</f>
        <v/>
      </c>
      <c r="Q57" s="28">
        <f>SUM(Q48:Q56)</f>
        <v/>
      </c>
      <c r="R57" s="28">
        <f>SUM(R48:R56)</f>
        <v/>
      </c>
      <c r="S57" s="28">
        <f>SUM(S48:S56)</f>
        <v/>
      </c>
      <c r="T57" s="28">
        <f>SUM(T48:T56)</f>
        <v/>
      </c>
      <c r="U57" s="28">
        <f>SUM(U48:U56)</f>
        <v/>
      </c>
      <c r="V57" s="28">
        <f>SUM(V48:V56)</f>
        <v/>
      </c>
      <c r="W57" s="28">
        <f>SUM(W48:W56)</f>
        <v/>
      </c>
      <c r="X57" s="28">
        <f>SUM(X48:X56)</f>
        <v/>
      </c>
      <c r="Y57" s="28">
        <f>SUM(Y48:Y56)</f>
        <v/>
      </c>
      <c r="Z57" s="28">
        <f>SUM(Z48:Z56)</f>
        <v/>
      </c>
      <c r="AA57" s="28">
        <f>SUM(AA48:AA56)</f>
        <v/>
      </c>
      <c r="AB57" s="28">
        <f>SUM(AB48:AB56)</f>
        <v/>
      </c>
      <c r="AC57" s="28">
        <f>SUM(AC48:AC56)</f>
        <v/>
      </c>
      <c r="AD57" s="28">
        <f>SUM(AD48:AD56)</f>
        <v/>
      </c>
      <c r="AE57" s="28">
        <f>SUM(AE48:AE56)</f>
        <v/>
      </c>
      <c r="AF57" s="28">
        <f>SUM(AF48:AF56)</f>
        <v/>
      </c>
      <c r="AG57" s="28">
        <f>SUM(AG48:AG56)</f>
        <v/>
      </c>
      <c r="AH57" s="28">
        <f>SUM(AH48:AH56)</f>
        <v/>
      </c>
      <c r="AI57" s="28">
        <f>SUM(AI48:AI56)</f>
        <v/>
      </c>
      <c r="AJ57" s="28">
        <f>SUM(AJ48:AJ56)</f>
        <v/>
      </c>
      <c r="AK57" s="28">
        <f>SUM(AK48:AK56)</f>
        <v/>
      </c>
      <c r="AL57" s="28">
        <f>SUM(AL48:AL56)</f>
        <v/>
      </c>
      <c r="AM57" s="28">
        <f>SUM(AM48:AM56)</f>
        <v/>
      </c>
      <c r="AN57" s="28">
        <f>SUM(AN48:AN56)</f>
        <v/>
      </c>
      <c r="AO57" s="28">
        <f>SUM(AO48:AO56)</f>
        <v/>
      </c>
      <c r="AP57" s="28">
        <f>SUM(AP48:AP56)</f>
        <v/>
      </c>
      <c r="AQ57" s="28">
        <f>SUM(AQ48:AQ56)</f>
        <v/>
      </c>
      <c r="AR57" s="28">
        <f>SUM(AR48:AR56)</f>
        <v/>
      </c>
      <c r="AS57" s="28">
        <f>SUM(AS48:AS56)</f>
        <v/>
      </c>
      <c r="AT57" s="28">
        <f>SUM(AT48:AT56)</f>
        <v/>
      </c>
      <c r="AU57" s="28">
        <f>SUM(AU48:AU56)</f>
        <v/>
      </c>
      <c r="AV57" s="28">
        <f>SUM(AV48:AV56)</f>
        <v/>
      </c>
      <c r="AW57" s="28">
        <f>SUM(AW48:AW56)</f>
        <v/>
      </c>
      <c r="AX57" s="28">
        <f>SUM(AX48:AX56)</f>
        <v/>
      </c>
      <c r="AY57" s="28">
        <f>SUM(AY48:AY56)</f>
        <v/>
      </c>
      <c r="AZ57" s="28" t="inlineStr"/>
      <c r="BA57" s="29">
        <f>SUM(BA48:BA56)</f>
        <v/>
      </c>
      <c r="BB57" s="30">
        <f>SUM(BB48:BB56)</f>
        <v/>
      </c>
      <c r="BC57" s="30">
        <f>SUM(BC48:BC56)</f>
        <v/>
      </c>
      <c r="BD57" s="31">
        <f>SUM(BD48:BD56)</f>
        <v/>
      </c>
      <c r="BE57" s="31">
        <f>SUM(BE48:BE56)</f>
        <v/>
      </c>
      <c r="BF57" s="29">
        <f>SUM(BF48:BF56)</f>
        <v/>
      </c>
      <c r="BG57" s="30">
        <f>SUM(BG48:BG56)</f>
        <v/>
      </c>
      <c r="BH57" s="30">
        <f>SUM(BH48:BH56)</f>
        <v/>
      </c>
      <c r="BI57" s="31">
        <f>SUM(BI48:BI56)</f>
        <v/>
      </c>
      <c r="BJ57" s="31">
        <f>SUM(BJ48:BJ56)</f>
        <v/>
      </c>
      <c r="BK57" s="30">
        <f>SUM(BK48:BK56)</f>
        <v/>
      </c>
      <c r="BL57" s="30">
        <f>SUM(BL48:BL56)</f>
        <v/>
      </c>
      <c r="BM57" s="31">
        <f>SUM(BM48:BM56)</f>
        <v/>
      </c>
    </row>
    <row r="58" ht="5" customHeight="1"/>
    <row r="59">
      <c r="A59" s="32" t="inlineStr">
        <is>
          <t>Panels</t>
        </is>
      </c>
      <c r="B59" s="33" t="inlineStr">
        <is>
          <t>7/16" ZIP</t>
        </is>
      </c>
      <c r="C59" s="32" t="n">
        <v>4</v>
      </c>
      <c r="D59" s="32" t="n">
        <v>8</v>
      </c>
      <c r="E59" s="32" t="inlineStr"/>
      <c r="F59" s="34" t="n">
        <v>1904</v>
      </c>
      <c r="G59" s="34" t="n">
        <v>0</v>
      </c>
      <c r="H59" s="34">
        <f>F59+G59</f>
        <v/>
      </c>
      <c r="I59" s="35" t="n">
        <v>595</v>
      </c>
      <c r="J59" s="35" t="n">
        <v>0</v>
      </c>
      <c r="K59" s="35">
        <f>H59*4.0*8.0</f>
        <v/>
      </c>
      <c r="L59" s="36">
        <f>(K59*I59)/1000</f>
        <v/>
      </c>
      <c r="M59" s="36">
        <f>L59*1.06</f>
        <v/>
      </c>
      <c r="N59" s="34" t="n">
        <v>0</v>
      </c>
      <c r="O59" s="34" t="n">
        <v>0</v>
      </c>
      <c r="P59" s="34" t="n">
        <v>0</v>
      </c>
      <c r="Q59" s="34" t="n">
        <v>0</v>
      </c>
      <c r="R59" s="34" t="n">
        <v>0</v>
      </c>
      <c r="S59" s="34" t="n">
        <v>0</v>
      </c>
      <c r="T59" s="34" t="n">
        <v>0</v>
      </c>
      <c r="U59" s="34" t="n">
        <v>0</v>
      </c>
      <c r="V59" s="34" t="n">
        <v>0</v>
      </c>
      <c r="W59" s="34" t="n">
        <v>0</v>
      </c>
      <c r="X59" s="34" t="n">
        <v>0</v>
      </c>
      <c r="Y59" s="34" t="n">
        <v>0</v>
      </c>
      <c r="Z59" s="34" t="n">
        <v>0</v>
      </c>
      <c r="AA59" s="34" t="n">
        <v>0</v>
      </c>
      <c r="AB59" s="34" t="n">
        <v>0</v>
      </c>
      <c r="AC59" s="34" t="n">
        <v>0</v>
      </c>
      <c r="AD59" s="34" t="n">
        <v>0</v>
      </c>
      <c r="AE59" s="34" t="n">
        <v>0</v>
      </c>
      <c r="AF59" s="34" t="n">
        <v>0</v>
      </c>
      <c r="AG59" s="34" t="n">
        <v>0</v>
      </c>
      <c r="AH59" s="34" t="n">
        <v>0</v>
      </c>
      <c r="AI59" s="34" t="n">
        <v>0</v>
      </c>
      <c r="AJ59" s="34" t="n">
        <v>0</v>
      </c>
      <c r="AK59" s="34" t="n">
        <v>0</v>
      </c>
      <c r="AL59" s="34" t="n">
        <v>0</v>
      </c>
      <c r="AM59" s="34" t="n">
        <v>0</v>
      </c>
      <c r="AN59" s="34" t="n">
        <v>0</v>
      </c>
      <c r="AO59" s="34" t="n">
        <v>0</v>
      </c>
      <c r="AP59" s="34" t="n">
        <v>0</v>
      </c>
      <c r="AQ59" s="34" t="n">
        <v>0</v>
      </c>
      <c r="AR59" s="34" t="n">
        <v>0</v>
      </c>
      <c r="AS59" s="34" t="n">
        <v>0</v>
      </c>
      <c r="AT59" s="34" t="n">
        <v>0</v>
      </c>
      <c r="AU59" s="34" t="n">
        <v>0</v>
      </c>
      <c r="AV59" s="34" t="n">
        <v>0</v>
      </c>
      <c r="AW59" s="34" t="n">
        <v>0</v>
      </c>
      <c r="AX59" s="34" t="n">
        <v>0</v>
      </c>
      <c r="AY59" s="34" t="n">
        <v>0</v>
      </c>
      <c r="AZ59" s="32" t="inlineStr"/>
      <c r="BA59" s="34">
        <f>SUM(N59:AY59)</f>
        <v/>
      </c>
      <c r="BB59" s="35" t="n">
        <v>0</v>
      </c>
      <c r="BC59" s="35">
        <f>BA59*4.0*8.0</f>
        <v/>
      </c>
      <c r="BD59" s="36">
        <f>(BC59*I59)/1000</f>
        <v/>
      </c>
      <c r="BE59" s="36">
        <f>BD59*1.06</f>
        <v/>
      </c>
      <c r="BF59" s="34">
        <f>H59-BA59</f>
        <v/>
      </c>
      <c r="BG59" s="35" t="n">
        <v>0</v>
      </c>
      <c r="BH59" s="35">
        <f>BF59*4.0*8.0</f>
        <v/>
      </c>
      <c r="BI59" s="36">
        <f>(BH59*I59)/1000</f>
        <v/>
      </c>
      <c r="BJ59" s="36">
        <f>BI59*1.06</f>
        <v/>
      </c>
      <c r="BK59" s="35" t="n">
        <v>0</v>
      </c>
      <c r="BL59" s="35" t="n">
        <v>0</v>
      </c>
      <c r="BM59" s="36" t="n">
        <v>0</v>
      </c>
    </row>
    <row r="60">
      <c r="A60" s="32" t="inlineStr">
        <is>
          <t>Panels</t>
        </is>
      </c>
      <c r="B60" s="33" t="inlineStr">
        <is>
          <t>15/32" OSB</t>
        </is>
      </c>
      <c r="C60" s="32" t="n">
        <v>4</v>
      </c>
      <c r="D60" s="32" t="n">
        <v>8</v>
      </c>
      <c r="E60" s="32" t="inlineStr"/>
      <c r="F60" s="34" t="n">
        <v>1036</v>
      </c>
      <c r="G60" s="34" t="n">
        <v>-981</v>
      </c>
      <c r="H60" s="34">
        <f>F60+G60</f>
        <v/>
      </c>
      <c r="I60" s="35" t="n">
        <v>395</v>
      </c>
      <c r="J60" s="35" t="n">
        <v>0</v>
      </c>
      <c r="K60" s="35">
        <f>H60*4.0*8.0</f>
        <v/>
      </c>
      <c r="L60" s="36">
        <f>(K60*I60)/1000</f>
        <v/>
      </c>
      <c r="M60" s="36">
        <f>L60*1.06</f>
        <v/>
      </c>
      <c r="N60" s="34" t="n">
        <v>0</v>
      </c>
      <c r="O60" s="34" t="n">
        <v>0</v>
      </c>
      <c r="P60" s="34" t="n">
        <v>490</v>
      </c>
      <c r="Q60" s="34" t="n">
        <v>0</v>
      </c>
      <c r="R60" s="34" t="n">
        <v>0</v>
      </c>
      <c r="S60" s="34" t="n">
        <v>0</v>
      </c>
      <c r="T60" s="34" t="n">
        <v>0</v>
      </c>
      <c r="U60" s="34" t="n">
        <v>0</v>
      </c>
      <c r="V60" s="34" t="n">
        <v>0</v>
      </c>
      <c r="W60" s="34" t="n">
        <v>0</v>
      </c>
      <c r="X60" s="34" t="n">
        <v>0</v>
      </c>
      <c r="Y60" s="34" t="n">
        <v>0</v>
      </c>
      <c r="Z60" s="34" t="n">
        <v>470</v>
      </c>
      <c r="AA60" s="34" t="n">
        <v>0</v>
      </c>
      <c r="AB60" s="34" t="n">
        <v>0</v>
      </c>
      <c r="AC60" s="34" t="n">
        <v>0</v>
      </c>
      <c r="AD60" s="34" t="n">
        <v>0</v>
      </c>
      <c r="AE60" s="34" t="n">
        <v>0</v>
      </c>
      <c r="AF60" s="34" t="n">
        <v>0</v>
      </c>
      <c r="AG60" s="34" t="n">
        <v>0</v>
      </c>
      <c r="AH60" s="34" t="n">
        <v>0</v>
      </c>
      <c r="AI60" s="34" t="n">
        <v>0</v>
      </c>
      <c r="AJ60" s="34" t="n">
        <v>0</v>
      </c>
      <c r="AK60" s="34" t="n">
        <v>0</v>
      </c>
      <c r="AL60" s="34" t="n">
        <v>0</v>
      </c>
      <c r="AM60" s="34" t="n">
        <v>0</v>
      </c>
      <c r="AN60" s="34" t="n">
        <v>0</v>
      </c>
      <c r="AO60" s="34" t="n">
        <v>0</v>
      </c>
      <c r="AP60" s="34" t="n">
        <v>0</v>
      </c>
      <c r="AQ60" s="34" t="n">
        <v>0</v>
      </c>
      <c r="AR60" s="34" t="n">
        <v>0</v>
      </c>
      <c r="AS60" s="34" t="n">
        <v>0</v>
      </c>
      <c r="AT60" s="34" t="n">
        <v>0</v>
      </c>
      <c r="AU60" s="34" t="n">
        <v>0</v>
      </c>
      <c r="AV60" s="34" t="n">
        <v>0</v>
      </c>
      <c r="AW60" s="34" t="n">
        <v>0</v>
      </c>
      <c r="AX60" s="34" t="n">
        <v>0</v>
      </c>
      <c r="AY60" s="34" t="n">
        <v>0</v>
      </c>
      <c r="AZ60" s="32" t="inlineStr">
        <is>
          <t>60126003
60126013</t>
        </is>
      </c>
      <c r="BA60" s="34">
        <f>SUM(N60:AY60)</f>
        <v/>
      </c>
      <c r="BB60" s="35" t="n">
        <v>0</v>
      </c>
      <c r="BC60" s="35">
        <f>BA60*4.0*8.0</f>
        <v/>
      </c>
      <c r="BD60" s="36">
        <f>(BC60*I60)/1000</f>
        <v/>
      </c>
      <c r="BE60" s="36">
        <f>BD60*1.06</f>
        <v/>
      </c>
      <c r="BF60" s="34">
        <f>H60-BA60</f>
        <v/>
      </c>
      <c r="BG60" s="35" t="n">
        <v>0</v>
      </c>
      <c r="BH60" s="35">
        <f>BF60*4.0*8.0</f>
        <v/>
      </c>
      <c r="BI60" s="36">
        <f>(BH60*I60)/1000</f>
        <v/>
      </c>
      <c r="BJ60" s="36">
        <f>BI60*1.06</f>
        <v/>
      </c>
      <c r="BK60" s="35" t="n">
        <v>0</v>
      </c>
      <c r="BL60" s="35" t="n">
        <v>0</v>
      </c>
      <c r="BM60" s="36" t="n">
        <v>0</v>
      </c>
    </row>
    <row r="61">
      <c r="A61" s="32" t="inlineStr">
        <is>
          <t>Panels</t>
        </is>
      </c>
      <c r="B61" s="33" t="inlineStr">
        <is>
          <t>15/32" PLY</t>
        </is>
      </c>
      <c r="C61" s="32" t="n">
        <v>4</v>
      </c>
      <c r="D61" s="32" t="n">
        <v>8</v>
      </c>
      <c r="E61" s="32" t="inlineStr"/>
      <c r="F61" s="34" t="n">
        <v>497</v>
      </c>
      <c r="G61" s="34" t="n">
        <v>0</v>
      </c>
      <c r="H61" s="34">
        <f>F61+G61</f>
        <v/>
      </c>
      <c r="I61" s="35" t="n">
        <v>395</v>
      </c>
      <c r="J61" s="35" t="n">
        <v>0</v>
      </c>
      <c r="K61" s="35">
        <f>H61*4.0*8.0</f>
        <v/>
      </c>
      <c r="L61" s="36">
        <f>(K61*I61)/1000</f>
        <v/>
      </c>
      <c r="M61" s="36">
        <f>L61*1.06</f>
        <v/>
      </c>
      <c r="N61" s="34" t="n">
        <v>0</v>
      </c>
      <c r="O61" s="34" t="n">
        <v>0</v>
      </c>
      <c r="P61" s="34" t="n">
        <v>0</v>
      </c>
      <c r="Q61" s="34" t="n">
        <v>0</v>
      </c>
      <c r="R61" s="34" t="n">
        <v>0</v>
      </c>
      <c r="S61" s="34" t="n">
        <v>0</v>
      </c>
      <c r="T61" s="34" t="n">
        <v>0</v>
      </c>
      <c r="U61" s="34" t="n">
        <v>0</v>
      </c>
      <c r="V61" s="34" t="n">
        <v>0</v>
      </c>
      <c r="W61" s="34" t="n">
        <v>0</v>
      </c>
      <c r="X61" s="34" t="n">
        <v>0</v>
      </c>
      <c r="Y61" s="34" t="n">
        <v>0</v>
      </c>
      <c r="Z61" s="34" t="n">
        <v>0</v>
      </c>
      <c r="AA61" s="34" t="n">
        <v>0</v>
      </c>
      <c r="AB61" s="34" t="n">
        <v>0</v>
      </c>
      <c r="AC61" s="34" t="n">
        <v>0</v>
      </c>
      <c r="AD61" s="34" t="n">
        <v>0</v>
      </c>
      <c r="AE61" s="34" t="n">
        <v>0</v>
      </c>
      <c r="AF61" s="34" t="n">
        <v>0</v>
      </c>
      <c r="AG61" s="34" t="n">
        <v>0</v>
      </c>
      <c r="AH61" s="34" t="n">
        <v>0</v>
      </c>
      <c r="AI61" s="34" t="n">
        <v>0</v>
      </c>
      <c r="AJ61" s="34" t="n">
        <v>0</v>
      </c>
      <c r="AK61" s="34" t="n">
        <v>0</v>
      </c>
      <c r="AL61" s="34" t="n">
        <v>0</v>
      </c>
      <c r="AM61" s="34" t="n">
        <v>0</v>
      </c>
      <c r="AN61" s="34" t="n">
        <v>0</v>
      </c>
      <c r="AO61" s="34" t="n">
        <v>0</v>
      </c>
      <c r="AP61" s="34" t="n">
        <v>0</v>
      </c>
      <c r="AQ61" s="34" t="n">
        <v>0</v>
      </c>
      <c r="AR61" s="34" t="n">
        <v>0</v>
      </c>
      <c r="AS61" s="34" t="n">
        <v>0</v>
      </c>
      <c r="AT61" s="34" t="n">
        <v>0</v>
      </c>
      <c r="AU61" s="34" t="n">
        <v>0</v>
      </c>
      <c r="AV61" s="34" t="n">
        <v>0</v>
      </c>
      <c r="AW61" s="34" t="n">
        <v>0</v>
      </c>
      <c r="AX61" s="34" t="n">
        <v>0</v>
      </c>
      <c r="AY61" s="34" t="n">
        <v>0</v>
      </c>
      <c r="AZ61" s="32" t="inlineStr"/>
      <c r="BA61" s="34">
        <f>SUM(N61:AY61)</f>
        <v/>
      </c>
      <c r="BB61" s="35" t="n">
        <v>0</v>
      </c>
      <c r="BC61" s="35">
        <f>BA61*4.0*8.0</f>
        <v/>
      </c>
      <c r="BD61" s="36">
        <f>(BC61*I61)/1000</f>
        <v/>
      </c>
      <c r="BE61" s="36">
        <f>BD61*1.06</f>
        <v/>
      </c>
      <c r="BF61" s="34">
        <f>H61-BA61</f>
        <v/>
      </c>
      <c r="BG61" s="35" t="n">
        <v>0</v>
      </c>
      <c r="BH61" s="35">
        <f>BF61*4.0*8.0</f>
        <v/>
      </c>
      <c r="BI61" s="36">
        <f>(BH61*I61)/1000</f>
        <v/>
      </c>
      <c r="BJ61" s="36">
        <f>BI61*1.06</f>
        <v/>
      </c>
      <c r="BK61" s="35" t="n">
        <v>0</v>
      </c>
      <c r="BL61" s="35" t="n">
        <v>0</v>
      </c>
      <c r="BM61" s="36" t="n">
        <v>0</v>
      </c>
    </row>
    <row r="62">
      <c r="A62" s="32" t="inlineStr">
        <is>
          <t>Panels</t>
        </is>
      </c>
      <c r="B62" s="33" t="inlineStr">
        <is>
          <t>23/32" OSB T&amp;G</t>
        </is>
      </c>
      <c r="C62" s="32" t="n">
        <v>4</v>
      </c>
      <c r="D62" s="32" t="n">
        <v>8</v>
      </c>
      <c r="E62" s="32" t="inlineStr"/>
      <c r="F62" s="34" t="n">
        <v>917</v>
      </c>
      <c r="G62" s="34" t="n">
        <v>-917</v>
      </c>
      <c r="H62" s="34">
        <f>F62+G62</f>
        <v/>
      </c>
      <c r="I62" s="35" t="n">
        <v>525</v>
      </c>
      <c r="J62" s="35" t="n">
        <v>0</v>
      </c>
      <c r="K62" s="35">
        <f>H62*4.0*8.0</f>
        <v/>
      </c>
      <c r="L62" s="36">
        <f>(K62*I62)/1000</f>
        <v/>
      </c>
      <c r="M62" s="36">
        <f>L62*1.06</f>
        <v/>
      </c>
      <c r="N62" s="34" t="n">
        <v>0</v>
      </c>
      <c r="O62" s="34" t="n">
        <v>0</v>
      </c>
      <c r="P62" s="34" t="n">
        <v>0</v>
      </c>
      <c r="Q62" s="34" t="n">
        <v>0</v>
      </c>
      <c r="R62" s="34" t="n">
        <v>0</v>
      </c>
      <c r="S62" s="34" t="n">
        <v>0</v>
      </c>
      <c r="T62" s="34" t="n">
        <v>0</v>
      </c>
      <c r="U62" s="34" t="n">
        <v>0</v>
      </c>
      <c r="V62" s="34" t="n">
        <v>0</v>
      </c>
      <c r="W62" s="34" t="n">
        <v>0</v>
      </c>
      <c r="X62" s="34" t="n">
        <v>0</v>
      </c>
      <c r="Y62" s="34" t="n">
        <v>0</v>
      </c>
      <c r="Z62" s="34" t="n">
        <v>0</v>
      </c>
      <c r="AA62" s="34" t="n">
        <v>0</v>
      </c>
      <c r="AB62" s="34" t="n">
        <v>0</v>
      </c>
      <c r="AC62" s="34" t="n">
        <v>0</v>
      </c>
      <c r="AD62" s="34" t="n">
        <v>0</v>
      </c>
      <c r="AE62" s="34" t="n">
        <v>0</v>
      </c>
      <c r="AF62" s="34" t="n">
        <v>0</v>
      </c>
      <c r="AG62" s="34" t="n">
        <v>0</v>
      </c>
      <c r="AH62" s="34" t="n">
        <v>0</v>
      </c>
      <c r="AI62" s="34" t="n">
        <v>0</v>
      </c>
      <c r="AJ62" s="34" t="n">
        <v>0</v>
      </c>
      <c r="AK62" s="34" t="n">
        <v>0</v>
      </c>
      <c r="AL62" s="34" t="n">
        <v>0</v>
      </c>
      <c r="AM62" s="34" t="n">
        <v>0</v>
      </c>
      <c r="AN62" s="34" t="n">
        <v>0</v>
      </c>
      <c r="AO62" s="34" t="n">
        <v>0</v>
      </c>
      <c r="AP62" s="34" t="n">
        <v>0</v>
      </c>
      <c r="AQ62" s="34" t="n">
        <v>0</v>
      </c>
      <c r="AR62" s="34" t="n">
        <v>0</v>
      </c>
      <c r="AS62" s="34" t="n">
        <v>0</v>
      </c>
      <c r="AT62" s="34" t="n">
        <v>0</v>
      </c>
      <c r="AU62" s="34" t="n">
        <v>0</v>
      </c>
      <c r="AV62" s="34" t="n">
        <v>0</v>
      </c>
      <c r="AW62" s="34" t="n">
        <v>0</v>
      </c>
      <c r="AX62" s="34" t="n">
        <v>0</v>
      </c>
      <c r="AY62" s="34" t="n">
        <v>0</v>
      </c>
      <c r="AZ62" s="32" t="inlineStr"/>
      <c r="BA62" s="34">
        <f>SUM(N62:AY62)</f>
        <v/>
      </c>
      <c r="BB62" s="35" t="n">
        <v>0</v>
      </c>
      <c r="BC62" s="35">
        <f>BA62*4.0*8.0</f>
        <v/>
      </c>
      <c r="BD62" s="36">
        <f>(BC62*I62)/1000</f>
        <v/>
      </c>
      <c r="BE62" s="36">
        <f>BD62*1.06</f>
        <v/>
      </c>
      <c r="BF62" s="34">
        <f>H62-BA62</f>
        <v/>
      </c>
      <c r="BG62" s="35" t="n">
        <v>0</v>
      </c>
      <c r="BH62" s="35">
        <f>BF62*4.0*8.0</f>
        <v/>
      </c>
      <c r="BI62" s="36">
        <f>(BH62*I62)/1000</f>
        <v/>
      </c>
      <c r="BJ62" s="36">
        <f>BI62*1.06</f>
        <v/>
      </c>
      <c r="BK62" s="35" t="n">
        <v>0</v>
      </c>
      <c r="BL62" s="35" t="n">
        <v>0</v>
      </c>
      <c r="BM62" s="36" t="n">
        <v>0</v>
      </c>
    </row>
    <row r="63">
      <c r="A63" s="32" t="inlineStr">
        <is>
          <t>Panels</t>
        </is>
      </c>
      <c r="B63" s="33" t="inlineStr">
        <is>
          <t>23/32" OSB T&amp;G - PT</t>
        </is>
      </c>
      <c r="C63" s="32" t="n">
        <v>4</v>
      </c>
      <c r="D63" s="32" t="n">
        <v>8</v>
      </c>
      <c r="E63" s="32" t="inlineStr"/>
      <c r="F63" s="34" t="n">
        <v>94</v>
      </c>
      <c r="G63" s="34" t="n">
        <v>50</v>
      </c>
      <c r="H63" s="34">
        <f>F63+G63</f>
        <v/>
      </c>
      <c r="I63" s="35" t="n">
        <v>1285</v>
      </c>
      <c r="J63" s="35" t="n">
        <v>0</v>
      </c>
      <c r="K63" s="35">
        <f>H63*4.0*8.0</f>
        <v/>
      </c>
      <c r="L63" s="36">
        <f>(K63*I63)/1000</f>
        <v/>
      </c>
      <c r="M63" s="36">
        <f>L63*1.06</f>
        <v/>
      </c>
      <c r="N63" s="34" t="n">
        <v>0</v>
      </c>
      <c r="O63" s="34" t="n">
        <v>0</v>
      </c>
      <c r="P63" s="34" t="n">
        <v>0</v>
      </c>
      <c r="Q63" s="34" t="n">
        <v>0</v>
      </c>
      <c r="R63" s="34" t="n">
        <v>0</v>
      </c>
      <c r="S63" s="34" t="n">
        <v>0</v>
      </c>
      <c r="T63" s="34" t="n">
        <v>0</v>
      </c>
      <c r="U63" s="34" t="n">
        <v>48</v>
      </c>
      <c r="V63" s="34" t="n">
        <v>0</v>
      </c>
      <c r="W63" s="34" t="n">
        <v>0</v>
      </c>
      <c r="X63" s="34" t="n">
        <v>0</v>
      </c>
      <c r="Y63" s="34" t="n">
        <v>0</v>
      </c>
      <c r="Z63" s="34" t="n">
        <v>0</v>
      </c>
      <c r="AA63" s="34" t="n">
        <v>0</v>
      </c>
      <c r="AB63" s="34" t="n">
        <v>0</v>
      </c>
      <c r="AC63" s="34" t="n">
        <v>0</v>
      </c>
      <c r="AD63" s="34" t="n">
        <v>0</v>
      </c>
      <c r="AE63" s="34" t="n">
        <v>0</v>
      </c>
      <c r="AF63" s="34" t="n">
        <v>0</v>
      </c>
      <c r="AG63" s="34" t="n">
        <v>0</v>
      </c>
      <c r="AH63" s="34" t="n">
        <v>0</v>
      </c>
      <c r="AI63" s="34" t="n">
        <v>0</v>
      </c>
      <c r="AJ63" s="34" t="n">
        <v>0</v>
      </c>
      <c r="AK63" s="34" t="n">
        <v>0</v>
      </c>
      <c r="AL63" s="34" t="n">
        <v>0</v>
      </c>
      <c r="AM63" s="34" t="n">
        <v>0</v>
      </c>
      <c r="AN63" s="34" t="n">
        <v>0</v>
      </c>
      <c r="AO63" s="34" t="n">
        <v>0</v>
      </c>
      <c r="AP63" s="34" t="n">
        <v>0</v>
      </c>
      <c r="AQ63" s="34" t="n">
        <v>0</v>
      </c>
      <c r="AR63" s="34" t="n">
        <v>0</v>
      </c>
      <c r="AS63" s="34" t="n">
        <v>0</v>
      </c>
      <c r="AT63" s="34" t="n">
        <v>96</v>
      </c>
      <c r="AU63" s="34" t="n">
        <v>0</v>
      </c>
      <c r="AV63" s="34" t="n">
        <v>0</v>
      </c>
      <c r="AW63" s="34" t="n">
        <v>0</v>
      </c>
      <c r="AX63" s="34" t="n">
        <v>0</v>
      </c>
      <c r="AY63" s="34" t="n">
        <v>0</v>
      </c>
      <c r="AZ63" s="32" t="inlineStr">
        <is>
          <t>60126008
60126034</t>
        </is>
      </c>
      <c r="BA63" s="34">
        <f>SUM(N63:AY63)</f>
        <v/>
      </c>
      <c r="BB63" s="35" t="n">
        <v>0</v>
      </c>
      <c r="BC63" s="35">
        <f>BA63*4.0*8.0</f>
        <v/>
      </c>
      <c r="BD63" s="36">
        <f>(BC63*I63)/1000</f>
        <v/>
      </c>
      <c r="BE63" s="36">
        <f>BD63*1.06</f>
        <v/>
      </c>
      <c r="BF63" s="34">
        <f>H63-BA63</f>
        <v/>
      </c>
      <c r="BG63" s="35" t="n">
        <v>0</v>
      </c>
      <c r="BH63" s="35">
        <f>BF63*4.0*8.0</f>
        <v/>
      </c>
      <c r="BI63" s="36">
        <f>(BH63*I63)/1000</f>
        <v/>
      </c>
      <c r="BJ63" s="36">
        <f>BI63*1.06</f>
        <v/>
      </c>
      <c r="BK63" s="35" t="n">
        <v>0</v>
      </c>
      <c r="BL63" s="35" t="n">
        <v>0</v>
      </c>
      <c r="BM63" s="36" t="n">
        <v>0</v>
      </c>
    </row>
    <row r="64">
      <c r="A64" s="32" t="inlineStr">
        <is>
          <t>Panels</t>
        </is>
      </c>
      <c r="B64" s="33" t="inlineStr">
        <is>
          <t>1/2" ZIP</t>
        </is>
      </c>
      <c r="C64" s="32" t="n">
        <v>4</v>
      </c>
      <c r="D64" s="32" t="n">
        <v>8</v>
      </c>
      <c r="E64" s="32" t="inlineStr"/>
      <c r="F64" s="34" t="n">
        <v>165</v>
      </c>
      <c r="G64" s="34" t="n">
        <v>0</v>
      </c>
      <c r="H64" s="34">
        <f>F64+G64</f>
        <v/>
      </c>
      <c r="I64" s="35" t="n">
        <v>655</v>
      </c>
      <c r="J64" s="35" t="n">
        <v>0</v>
      </c>
      <c r="K64" s="35">
        <f>H64*4.0*8.0</f>
        <v/>
      </c>
      <c r="L64" s="36">
        <f>(K64*I64)/1000</f>
        <v/>
      </c>
      <c r="M64" s="36">
        <f>L64*1.06</f>
        <v/>
      </c>
      <c r="N64" s="34" t="n">
        <v>0</v>
      </c>
      <c r="O64" s="34" t="n">
        <v>0</v>
      </c>
      <c r="P64" s="34" t="n">
        <v>0</v>
      </c>
      <c r="Q64" s="34" t="n">
        <v>0</v>
      </c>
      <c r="R64" s="34" t="n">
        <v>0</v>
      </c>
      <c r="S64" s="34" t="n">
        <v>0</v>
      </c>
      <c r="T64" s="34" t="n">
        <v>0</v>
      </c>
      <c r="U64" s="34" t="n">
        <v>0</v>
      </c>
      <c r="V64" s="34" t="n">
        <v>0</v>
      </c>
      <c r="W64" s="34" t="n">
        <v>1050</v>
      </c>
      <c r="X64" s="34" t="n">
        <v>0</v>
      </c>
      <c r="Y64" s="34" t="n">
        <v>0</v>
      </c>
      <c r="Z64" s="34" t="n">
        <v>0</v>
      </c>
      <c r="AA64" s="34" t="n">
        <v>0</v>
      </c>
      <c r="AB64" s="34" t="n">
        <v>0</v>
      </c>
      <c r="AC64" s="34" t="n">
        <v>0</v>
      </c>
      <c r="AD64" s="34" t="n">
        <v>0</v>
      </c>
      <c r="AE64" s="34" t="n">
        <v>0</v>
      </c>
      <c r="AF64" s="34" t="n">
        <v>0</v>
      </c>
      <c r="AG64" s="34" t="n">
        <v>0</v>
      </c>
      <c r="AH64" s="34" t="n">
        <v>0</v>
      </c>
      <c r="AI64" s="34" t="n">
        <v>0</v>
      </c>
      <c r="AJ64" s="34" t="n">
        <v>0</v>
      </c>
      <c r="AK64" s="34" t="n">
        <v>0</v>
      </c>
      <c r="AL64" s="34" t="n">
        <v>0</v>
      </c>
      <c r="AM64" s="34" t="n">
        <v>0</v>
      </c>
      <c r="AN64" s="34" t="n">
        <v>0</v>
      </c>
      <c r="AO64" s="34" t="n">
        <v>0</v>
      </c>
      <c r="AP64" s="34" t="n">
        <v>0</v>
      </c>
      <c r="AQ64" s="34" t="n">
        <v>0</v>
      </c>
      <c r="AR64" s="34" t="n">
        <v>0</v>
      </c>
      <c r="AS64" s="34" t="n">
        <v>0</v>
      </c>
      <c r="AT64" s="34" t="n">
        <v>0</v>
      </c>
      <c r="AU64" s="34" t="n">
        <v>0</v>
      </c>
      <c r="AV64" s="34" t="n">
        <v>0</v>
      </c>
      <c r="AW64" s="34" t="n">
        <v>0</v>
      </c>
      <c r="AX64" s="34" t="n">
        <v>0</v>
      </c>
      <c r="AY64" s="34" t="n">
        <v>0</v>
      </c>
      <c r="AZ64" s="32" t="inlineStr">
        <is>
          <t>60126010</t>
        </is>
      </c>
      <c r="BA64" s="34">
        <f>SUM(N64:AY64)</f>
        <v/>
      </c>
      <c r="BB64" s="35" t="n">
        <v>0</v>
      </c>
      <c r="BC64" s="35">
        <f>BA64*4.0*8.0</f>
        <v/>
      </c>
      <c r="BD64" s="36">
        <f>(BC64*I64)/1000</f>
        <v/>
      </c>
      <c r="BE64" s="36">
        <f>BD64*1.06</f>
        <v/>
      </c>
      <c r="BF64" s="34">
        <f>H64-BA64</f>
        <v/>
      </c>
      <c r="BG64" s="35" t="n">
        <v>0</v>
      </c>
      <c r="BH64" s="35">
        <f>BF64*4.0*8.0</f>
        <v/>
      </c>
      <c r="BI64" s="36">
        <f>(BH64*I64)/1000</f>
        <v/>
      </c>
      <c r="BJ64" s="36">
        <f>BI64*1.06</f>
        <v/>
      </c>
      <c r="BK64" s="35" t="n">
        <v>0</v>
      </c>
      <c r="BL64" s="35" t="n">
        <v>0</v>
      </c>
      <c r="BM64" s="36" t="n">
        <v>0</v>
      </c>
    </row>
    <row r="65">
      <c r="A65" s="32" t="inlineStr">
        <is>
          <t>Panels</t>
        </is>
      </c>
      <c r="B65" s="33" t="inlineStr">
        <is>
          <t>15/32" PLY</t>
        </is>
      </c>
      <c r="C65" s="32" t="n">
        <v>4</v>
      </c>
      <c r="D65" s="32" t="n">
        <v>8</v>
      </c>
      <c r="E65" s="32" t="inlineStr"/>
      <c r="F65" s="34" t="n">
        <v>981</v>
      </c>
      <c r="G65" s="34" t="n">
        <v>0</v>
      </c>
      <c r="H65" s="34">
        <f>F65+G65</f>
        <v/>
      </c>
      <c r="I65" s="35" t="n">
        <v>655</v>
      </c>
      <c r="J65" s="35" t="n">
        <v>0</v>
      </c>
      <c r="K65" s="35">
        <f>H65*4.0*8.0</f>
        <v/>
      </c>
      <c r="L65" s="36">
        <f>(K65*I65)/1000</f>
        <v/>
      </c>
      <c r="M65" s="36">
        <f>L65*1.06</f>
        <v/>
      </c>
      <c r="N65" s="34" t="n">
        <v>0</v>
      </c>
      <c r="O65" s="34" t="n">
        <v>0</v>
      </c>
      <c r="P65" s="34" t="n">
        <v>0</v>
      </c>
      <c r="Q65" s="34" t="n">
        <v>0</v>
      </c>
      <c r="R65" s="34" t="n">
        <v>0</v>
      </c>
      <c r="S65" s="34" t="n">
        <v>0</v>
      </c>
      <c r="T65" s="34" t="n">
        <v>0</v>
      </c>
      <c r="U65" s="34" t="n">
        <v>0</v>
      </c>
      <c r="V65" s="34" t="n">
        <v>0</v>
      </c>
      <c r="W65" s="34" t="n">
        <v>0</v>
      </c>
      <c r="X65" s="34" t="n">
        <v>0</v>
      </c>
      <c r="Y65" s="34" t="n">
        <v>0</v>
      </c>
      <c r="Z65" s="34" t="n">
        <v>0</v>
      </c>
      <c r="AA65" s="34" t="n">
        <v>0</v>
      </c>
      <c r="AB65" s="34" t="n">
        <v>0</v>
      </c>
      <c r="AC65" s="34" t="n">
        <v>0</v>
      </c>
      <c r="AD65" s="34" t="n">
        <v>0</v>
      </c>
      <c r="AE65" s="34" t="n">
        <v>0</v>
      </c>
      <c r="AF65" s="34" t="n">
        <v>0</v>
      </c>
      <c r="AG65" s="34" t="n">
        <v>0</v>
      </c>
      <c r="AH65" s="34" t="n">
        <v>0</v>
      </c>
      <c r="AI65" s="34" t="n">
        <v>0</v>
      </c>
      <c r="AJ65" s="34" t="n">
        <v>0</v>
      </c>
      <c r="AK65" s="34" t="n">
        <v>0</v>
      </c>
      <c r="AL65" s="34" t="n">
        <v>0</v>
      </c>
      <c r="AM65" s="34" t="n">
        <v>0</v>
      </c>
      <c r="AN65" s="34" t="n">
        <v>0</v>
      </c>
      <c r="AO65" s="34" t="n">
        <v>0</v>
      </c>
      <c r="AP65" s="34" t="n">
        <v>786</v>
      </c>
      <c r="AQ65" s="34" t="n">
        <v>0</v>
      </c>
      <c r="AR65" s="34" t="n">
        <v>0</v>
      </c>
      <c r="AS65" s="34" t="n">
        <v>0</v>
      </c>
      <c r="AT65" s="34" t="n">
        <v>0</v>
      </c>
      <c r="AU65" s="34" t="n">
        <v>140</v>
      </c>
      <c r="AV65" s="34" t="n">
        <v>0</v>
      </c>
      <c r="AW65" s="34" t="n">
        <v>0</v>
      </c>
      <c r="AX65" s="34" t="n">
        <v>0</v>
      </c>
      <c r="AY65" s="34" t="n">
        <v>0</v>
      </c>
      <c r="AZ65" s="32" t="inlineStr">
        <is>
          <t>60126030
60126036</t>
        </is>
      </c>
      <c r="BA65" s="34">
        <f>SUM(N65:AY65)</f>
        <v/>
      </c>
      <c r="BB65" s="35" t="n">
        <v>0</v>
      </c>
      <c r="BC65" s="35">
        <f>BA65*4.0*8.0</f>
        <v/>
      </c>
      <c r="BD65" s="36">
        <f>(BC65*I65)/1000</f>
        <v/>
      </c>
      <c r="BE65" s="36">
        <f>BD65*1.06</f>
        <v/>
      </c>
      <c r="BF65" s="34">
        <f>H65-BA65</f>
        <v/>
      </c>
      <c r="BG65" s="35" t="n">
        <v>0</v>
      </c>
      <c r="BH65" s="35">
        <f>BF65*4.0*8.0</f>
        <v/>
      </c>
      <c r="BI65" s="36">
        <f>(BH65*I65)/1000</f>
        <v/>
      </c>
      <c r="BJ65" s="36">
        <f>BI65*1.06</f>
        <v/>
      </c>
      <c r="BK65" s="35" t="n">
        <v>0</v>
      </c>
      <c r="BL65" s="35" t="n">
        <v>0</v>
      </c>
      <c r="BM65" s="36" t="n">
        <v>0</v>
      </c>
    </row>
    <row r="66">
      <c r="A66" s="32" t="inlineStr">
        <is>
          <t>Panels</t>
        </is>
      </c>
      <c r="B66" s="33" t="inlineStr">
        <is>
          <t>1/2" GYPSUM</t>
        </is>
      </c>
      <c r="C66" s="32" t="n">
        <v>4</v>
      </c>
      <c r="D66" s="32" t="n">
        <v>8</v>
      </c>
      <c r="E66" s="32" t="inlineStr"/>
      <c r="F66" s="34" t="n">
        <v>323</v>
      </c>
      <c r="G66" s="34" t="n">
        <v>0</v>
      </c>
      <c r="H66" s="34">
        <f>F66+G66</f>
        <v/>
      </c>
      <c r="I66" s="35" t="n">
        <v>565</v>
      </c>
      <c r="J66" s="35" t="n">
        <v>0</v>
      </c>
      <c r="K66" s="35">
        <f>H66*4.0*8.0</f>
        <v/>
      </c>
      <c r="L66" s="36">
        <f>(K66*I66)/1000</f>
        <v/>
      </c>
      <c r="M66" s="36">
        <f>L66*1.06</f>
        <v/>
      </c>
      <c r="N66" s="34" t="n">
        <v>0</v>
      </c>
      <c r="O66" s="34" t="n">
        <v>0</v>
      </c>
      <c r="P66" s="34" t="n">
        <v>0</v>
      </c>
      <c r="Q66" s="34" t="n">
        <v>0</v>
      </c>
      <c r="R66" s="34" t="n">
        <v>0</v>
      </c>
      <c r="S66" s="34" t="n">
        <v>0</v>
      </c>
      <c r="T66" s="34" t="n">
        <v>0</v>
      </c>
      <c r="U66" s="34" t="n">
        <v>0</v>
      </c>
      <c r="V66" s="34" t="n">
        <v>0</v>
      </c>
      <c r="W66" s="34" t="n">
        <v>0</v>
      </c>
      <c r="X66" s="34" t="n">
        <v>0</v>
      </c>
      <c r="Y66" s="34" t="n">
        <v>0</v>
      </c>
      <c r="Z66" s="34" t="n">
        <v>0</v>
      </c>
      <c r="AA66" s="34" t="n">
        <v>0</v>
      </c>
      <c r="AB66" s="34" t="n">
        <v>0</v>
      </c>
      <c r="AC66" s="34" t="n">
        <v>0</v>
      </c>
      <c r="AD66" s="34" t="n">
        <v>0</v>
      </c>
      <c r="AE66" s="34" t="n">
        <v>0</v>
      </c>
      <c r="AF66" s="34" t="n">
        <v>0</v>
      </c>
      <c r="AG66" s="34" t="n">
        <v>0</v>
      </c>
      <c r="AH66" s="34" t="n">
        <v>0</v>
      </c>
      <c r="AI66" s="34" t="n">
        <v>0</v>
      </c>
      <c r="AJ66" s="34" t="n">
        <v>0</v>
      </c>
      <c r="AK66" s="34" t="n">
        <v>0</v>
      </c>
      <c r="AL66" s="34" t="n">
        <v>0</v>
      </c>
      <c r="AM66" s="34" t="n">
        <v>0</v>
      </c>
      <c r="AN66" s="34" t="n">
        <v>0</v>
      </c>
      <c r="AO66" s="34" t="n">
        <v>0</v>
      </c>
      <c r="AP66" s="34" t="n">
        <v>0</v>
      </c>
      <c r="AQ66" s="34" t="n">
        <v>0</v>
      </c>
      <c r="AR66" s="34" t="n">
        <v>0</v>
      </c>
      <c r="AS66" s="34" t="n">
        <v>0</v>
      </c>
      <c r="AT66" s="34" t="n">
        <v>0</v>
      </c>
      <c r="AU66" s="34" t="n">
        <v>0</v>
      </c>
      <c r="AV66" s="34" t="n">
        <v>0</v>
      </c>
      <c r="AW66" s="34" t="n">
        <v>0</v>
      </c>
      <c r="AX66" s="34" t="n">
        <v>0</v>
      </c>
      <c r="AY66" s="34" t="n">
        <v>0</v>
      </c>
      <c r="AZ66" s="32" t="inlineStr"/>
      <c r="BA66" s="34">
        <f>SUM(N66:AY66)</f>
        <v/>
      </c>
      <c r="BB66" s="35" t="n">
        <v>0</v>
      </c>
      <c r="BC66" s="35">
        <f>BA66*4.0*8.0</f>
        <v/>
      </c>
      <c r="BD66" s="36">
        <f>(BC66*I66)/1000</f>
        <v/>
      </c>
      <c r="BE66" s="36">
        <f>BD66*1.06</f>
        <v/>
      </c>
      <c r="BF66" s="34">
        <f>H66-BA66</f>
        <v/>
      </c>
      <c r="BG66" s="35" t="n">
        <v>0</v>
      </c>
      <c r="BH66" s="35">
        <f>BF66*4.0*8.0</f>
        <v/>
      </c>
      <c r="BI66" s="36">
        <f>(BH66*I66)/1000</f>
        <v/>
      </c>
      <c r="BJ66" s="36">
        <f>BI66*1.06</f>
        <v/>
      </c>
      <c r="BK66" s="35" t="n">
        <v>0</v>
      </c>
      <c r="BL66" s="35" t="n">
        <v>0</v>
      </c>
      <c r="BM66" s="36" t="n">
        <v>0</v>
      </c>
    </row>
    <row r="67">
      <c r="A67" s="32" t="inlineStr">
        <is>
          <t>Panels</t>
        </is>
      </c>
      <c r="B67" s="33" t="inlineStr">
        <is>
          <t>19/32" 4X8 PLYWOOD (CO#001)</t>
        </is>
      </c>
      <c r="C67" s="32" t="n">
        <v>4</v>
      </c>
      <c r="D67" s="32" t="n">
        <v>8</v>
      </c>
      <c r="E67" s="32" t="inlineStr"/>
      <c r="F67" s="34" t="n">
        <v>0</v>
      </c>
      <c r="G67" s="34" t="n">
        <v>1233</v>
      </c>
      <c r="H67" s="34">
        <f>F67+G67</f>
        <v/>
      </c>
      <c r="I67" s="35" t="n">
        <v>855</v>
      </c>
      <c r="J67" s="35" t="n">
        <v>0</v>
      </c>
      <c r="K67" s="35">
        <f>H67*4.0*8.0</f>
        <v/>
      </c>
      <c r="L67" s="36">
        <f>(K67*I67)/1000</f>
        <v/>
      </c>
      <c r="M67" s="36">
        <f>L67*1.06</f>
        <v/>
      </c>
      <c r="N67" s="34" t="n">
        <v>0</v>
      </c>
      <c r="O67" s="34" t="n">
        <v>0</v>
      </c>
      <c r="P67" s="34" t="n">
        <v>0</v>
      </c>
      <c r="Q67" s="34" t="n">
        <v>0</v>
      </c>
      <c r="R67" s="34" t="n">
        <v>0</v>
      </c>
      <c r="S67" s="34" t="n">
        <v>0</v>
      </c>
      <c r="T67" s="34" t="n">
        <v>0</v>
      </c>
      <c r="U67" s="34" t="n">
        <v>0</v>
      </c>
      <c r="V67" s="34" t="n">
        <v>0</v>
      </c>
      <c r="W67" s="34" t="n">
        <v>0</v>
      </c>
      <c r="X67" s="34" t="n">
        <v>0</v>
      </c>
      <c r="Y67" s="34" t="n">
        <v>0</v>
      </c>
      <c r="Z67" s="34" t="n">
        <v>0</v>
      </c>
      <c r="AA67" s="34" t="n">
        <v>0</v>
      </c>
      <c r="AB67" s="34" t="n">
        <v>0</v>
      </c>
      <c r="AC67" s="34" t="n">
        <v>0</v>
      </c>
      <c r="AD67" s="34" t="n">
        <v>0</v>
      </c>
      <c r="AE67" s="34" t="n">
        <v>0</v>
      </c>
      <c r="AF67" s="34" t="n">
        <v>0</v>
      </c>
      <c r="AG67" s="34" t="n">
        <v>0</v>
      </c>
      <c r="AH67" s="34" t="n">
        <v>0</v>
      </c>
      <c r="AI67" s="34" t="n">
        <v>0</v>
      </c>
      <c r="AJ67" s="34" t="n">
        <v>87</v>
      </c>
      <c r="AK67" s="34" t="n">
        <v>754</v>
      </c>
      <c r="AL67" s="34" t="n">
        <v>0</v>
      </c>
      <c r="AM67" s="34" t="n">
        <v>0</v>
      </c>
      <c r="AN67" s="34" t="n">
        <v>0</v>
      </c>
      <c r="AO67" s="34" t="n">
        <v>0</v>
      </c>
      <c r="AP67" s="34" t="n">
        <v>0</v>
      </c>
      <c r="AQ67" s="34" t="n">
        <v>0</v>
      </c>
      <c r="AR67" s="34" t="n">
        <v>0</v>
      </c>
      <c r="AS67" s="34" t="n">
        <v>0</v>
      </c>
      <c r="AT67" s="34" t="n">
        <v>0</v>
      </c>
      <c r="AU67" s="34" t="n">
        <v>336</v>
      </c>
      <c r="AV67" s="34" t="n">
        <v>0</v>
      </c>
      <c r="AW67" s="34" t="n">
        <v>0</v>
      </c>
      <c r="AX67" s="34" t="n">
        <v>56</v>
      </c>
      <c r="AY67" s="34" t="n">
        <v>0</v>
      </c>
      <c r="AZ67" s="32" t="inlineStr">
        <is>
          <t>60126023
60126024
60126036
60126040</t>
        </is>
      </c>
      <c r="BA67" s="34">
        <f>SUM(N67:AY67)</f>
        <v/>
      </c>
      <c r="BB67" s="35" t="n">
        <v>0</v>
      </c>
      <c r="BC67" s="35">
        <f>BA67*4.0*8.0</f>
        <v/>
      </c>
      <c r="BD67" s="36">
        <f>(BC67*I67)/1000</f>
        <v/>
      </c>
      <c r="BE67" s="36">
        <f>BD67*1.06</f>
        <v/>
      </c>
      <c r="BF67" s="34">
        <f>H67-BA67</f>
        <v/>
      </c>
      <c r="BG67" s="35" t="n">
        <v>0</v>
      </c>
      <c r="BH67" s="35">
        <f>BF67*4.0*8.0</f>
        <v/>
      </c>
      <c r="BI67" s="36">
        <f>(BH67*I67)/1000</f>
        <v/>
      </c>
      <c r="BJ67" s="36">
        <f>BI67*1.06</f>
        <v/>
      </c>
      <c r="BK67" s="35" t="n">
        <v>0</v>
      </c>
      <c r="BL67" s="35" t="n">
        <v>0</v>
      </c>
      <c r="BM67" s="36" t="n">
        <v>0</v>
      </c>
    </row>
    <row r="68">
      <c r="A68" s="32" t="inlineStr">
        <is>
          <t>Panels</t>
        </is>
      </c>
      <c r="B68" s="33" t="inlineStr">
        <is>
          <t>15/32" 4X8 PLYWOOD PT (CO#001)</t>
        </is>
      </c>
      <c r="C68" s="32" t="n">
        <v>4</v>
      </c>
      <c r="D68" s="32" t="n">
        <v>8</v>
      </c>
      <c r="E68" s="32" t="inlineStr"/>
      <c r="F68" s="34" t="n">
        <v>0</v>
      </c>
      <c r="G68" s="34" t="n">
        <v>325</v>
      </c>
      <c r="H68" s="34">
        <f>F68+G68</f>
        <v/>
      </c>
      <c r="I68" s="35" t="n">
        <v>1055</v>
      </c>
      <c r="J68" s="35" t="n">
        <v>0</v>
      </c>
      <c r="K68" s="35">
        <f>H68*4.0*8.0</f>
        <v/>
      </c>
      <c r="L68" s="36">
        <f>(K68*I68)/1000</f>
        <v/>
      </c>
      <c r="M68" s="36">
        <f>L68*1.06</f>
        <v/>
      </c>
      <c r="N68" s="34" t="n">
        <v>0</v>
      </c>
      <c r="O68" s="34" t="n">
        <v>0</v>
      </c>
      <c r="P68" s="34" t="n">
        <v>0</v>
      </c>
      <c r="Q68" s="34" t="n">
        <v>0</v>
      </c>
      <c r="R68" s="34" t="n">
        <v>0</v>
      </c>
      <c r="S68" s="34" t="n">
        <v>0</v>
      </c>
      <c r="T68" s="34" t="n">
        <v>0</v>
      </c>
      <c r="U68" s="34" t="n">
        <v>0</v>
      </c>
      <c r="V68" s="34" t="n">
        <v>0</v>
      </c>
      <c r="W68" s="34" t="n">
        <v>0</v>
      </c>
      <c r="X68" s="34" t="n">
        <v>0</v>
      </c>
      <c r="Y68" s="34" t="n">
        <v>0</v>
      </c>
      <c r="Z68" s="34" t="n">
        <v>0</v>
      </c>
      <c r="AA68" s="34" t="n">
        <v>0</v>
      </c>
      <c r="AB68" s="34" t="n">
        <v>0</v>
      </c>
      <c r="AC68" s="34" t="n">
        <v>0</v>
      </c>
      <c r="AD68" s="34" t="n">
        <v>0</v>
      </c>
      <c r="AE68" s="34" t="n">
        <v>0</v>
      </c>
      <c r="AF68" s="34" t="n">
        <v>0</v>
      </c>
      <c r="AG68" s="34" t="n">
        <v>0</v>
      </c>
      <c r="AH68" s="34" t="n">
        <v>0</v>
      </c>
      <c r="AI68" s="34" t="n">
        <v>0</v>
      </c>
      <c r="AJ68" s="34" t="n">
        <v>360</v>
      </c>
      <c r="AK68" s="34" t="n">
        <v>0</v>
      </c>
      <c r="AL68" s="34" t="n">
        <v>0</v>
      </c>
      <c r="AM68" s="34" t="n">
        <v>0</v>
      </c>
      <c r="AN68" s="34" t="n">
        <v>0</v>
      </c>
      <c r="AO68" s="34" t="n">
        <v>0</v>
      </c>
      <c r="AP68" s="34" t="n">
        <v>0</v>
      </c>
      <c r="AQ68" s="34" t="n">
        <v>0</v>
      </c>
      <c r="AR68" s="34" t="n">
        <v>0</v>
      </c>
      <c r="AS68" s="34" t="n">
        <v>0</v>
      </c>
      <c r="AT68" s="34" t="n">
        <v>0</v>
      </c>
      <c r="AU68" s="34" t="n">
        <v>0</v>
      </c>
      <c r="AV68" s="34" t="n">
        <v>0</v>
      </c>
      <c r="AW68" s="34" t="n">
        <v>0</v>
      </c>
      <c r="AX68" s="34" t="n">
        <v>0</v>
      </c>
      <c r="AY68" s="34" t="n">
        <v>0</v>
      </c>
      <c r="AZ68" s="32" t="inlineStr">
        <is>
          <t>60126023</t>
        </is>
      </c>
      <c r="BA68" s="34">
        <f>SUM(N68:AY68)</f>
        <v/>
      </c>
      <c r="BB68" s="35" t="n">
        <v>0</v>
      </c>
      <c r="BC68" s="35">
        <f>BA68*4.0*8.0</f>
        <v/>
      </c>
      <c r="BD68" s="36">
        <f>(BC68*I68)/1000</f>
        <v/>
      </c>
      <c r="BE68" s="36">
        <f>BD68*1.06</f>
        <v/>
      </c>
      <c r="BF68" s="34">
        <f>H68-BA68</f>
        <v/>
      </c>
      <c r="BG68" s="35" t="n">
        <v>0</v>
      </c>
      <c r="BH68" s="35">
        <f>BF68*4.0*8.0</f>
        <v/>
      </c>
      <c r="BI68" s="36">
        <f>(BH68*I68)/1000</f>
        <v/>
      </c>
      <c r="BJ68" s="36">
        <f>BI68*1.06</f>
        <v/>
      </c>
      <c r="BK68" s="35" t="n">
        <v>0</v>
      </c>
      <c r="BL68" s="35" t="n">
        <v>0</v>
      </c>
      <c r="BM68" s="36" t="n">
        <v>0</v>
      </c>
    </row>
    <row r="69">
      <c r="A69" s="32" t="inlineStr">
        <is>
          <t>Panels</t>
        </is>
      </c>
      <c r="B69" s="33" t="inlineStr">
        <is>
          <t>23/32" 4X8 OSB T&amp;G ADVANTECH (CO#002)</t>
        </is>
      </c>
      <c r="C69" s="32" t="n">
        <v>4</v>
      </c>
      <c r="D69" s="32" t="n">
        <v>8</v>
      </c>
      <c r="E69" s="32" t="inlineStr"/>
      <c r="F69" s="34" t="n">
        <v>0</v>
      </c>
      <c r="G69" s="34" t="n">
        <v>1052</v>
      </c>
      <c r="H69" s="34">
        <f>F69+G69</f>
        <v/>
      </c>
      <c r="I69" s="35" t="n">
        <v>1015</v>
      </c>
      <c r="J69" s="35" t="n">
        <v>0</v>
      </c>
      <c r="K69" s="35">
        <f>H69*4.0*8.0</f>
        <v/>
      </c>
      <c r="L69" s="36">
        <f>(K69*I69)/1000</f>
        <v/>
      </c>
      <c r="M69" s="36">
        <f>L69*1.06</f>
        <v/>
      </c>
      <c r="N69" s="34" t="n">
        <v>0</v>
      </c>
      <c r="O69" s="34" t="n">
        <v>0</v>
      </c>
      <c r="P69" s="34" t="n">
        <v>0</v>
      </c>
      <c r="Q69" s="34" t="n">
        <v>0</v>
      </c>
      <c r="R69" s="34" t="n">
        <v>0</v>
      </c>
      <c r="S69" s="34" t="n">
        <v>0</v>
      </c>
      <c r="T69" s="34" t="n">
        <v>0</v>
      </c>
      <c r="U69" s="34" t="n">
        <v>0</v>
      </c>
      <c r="V69" s="34" t="n">
        <v>585</v>
      </c>
      <c r="W69" s="34" t="n">
        <v>0</v>
      </c>
      <c r="X69" s="34" t="n">
        <v>585</v>
      </c>
      <c r="Y69" s="34" t="n">
        <v>0</v>
      </c>
      <c r="Z69" s="34" t="n">
        <v>0</v>
      </c>
      <c r="AA69" s="34" t="n">
        <v>0</v>
      </c>
      <c r="AB69" s="34" t="n">
        <v>0</v>
      </c>
      <c r="AC69" s="34" t="n">
        <v>0</v>
      </c>
      <c r="AD69" s="34" t="n">
        <v>0</v>
      </c>
      <c r="AE69" s="34" t="n">
        <v>0</v>
      </c>
      <c r="AF69" s="34" t="n">
        <v>0</v>
      </c>
      <c r="AG69" s="34" t="n">
        <v>0</v>
      </c>
      <c r="AH69" s="34" t="n">
        <v>0</v>
      </c>
      <c r="AI69" s="34" t="n">
        <v>0</v>
      </c>
      <c r="AJ69" s="34" t="n">
        <v>0</v>
      </c>
      <c r="AK69" s="34" t="n">
        <v>0</v>
      </c>
      <c r="AL69" s="34" t="n">
        <v>0</v>
      </c>
      <c r="AM69" s="34" t="n">
        <v>0</v>
      </c>
      <c r="AN69" s="34" t="n">
        <v>0</v>
      </c>
      <c r="AO69" s="34" t="n">
        <v>135</v>
      </c>
      <c r="AP69" s="34" t="n">
        <v>0</v>
      </c>
      <c r="AQ69" s="34" t="n">
        <v>0</v>
      </c>
      <c r="AR69" s="34" t="n">
        <v>0</v>
      </c>
      <c r="AS69" s="34" t="n">
        <v>0</v>
      </c>
      <c r="AT69" s="34" t="n">
        <v>0</v>
      </c>
      <c r="AU69" s="34" t="n">
        <v>0</v>
      </c>
      <c r="AV69" s="34" t="n">
        <v>0</v>
      </c>
      <c r="AW69" s="34" t="n">
        <v>0</v>
      </c>
      <c r="AX69" s="34" t="n">
        <v>0</v>
      </c>
      <c r="AY69" s="34" t="n">
        <v>0</v>
      </c>
      <c r="AZ69" s="32" t="inlineStr">
        <is>
          <t>60126009
60126011
60126029</t>
        </is>
      </c>
      <c r="BA69" s="34">
        <f>SUM(N69:AY69)</f>
        <v/>
      </c>
      <c r="BB69" s="35" t="n">
        <v>0</v>
      </c>
      <c r="BC69" s="35">
        <f>BA69*4.0*8.0</f>
        <v/>
      </c>
      <c r="BD69" s="36">
        <f>(BC69*I69)/1000</f>
        <v/>
      </c>
      <c r="BE69" s="36">
        <f>BD69*1.06</f>
        <v/>
      </c>
      <c r="BF69" s="34">
        <f>H69-BA69</f>
        <v/>
      </c>
      <c r="BG69" s="35" t="n">
        <v>0</v>
      </c>
      <c r="BH69" s="35">
        <f>BF69*4.0*8.0</f>
        <v/>
      </c>
      <c r="BI69" s="36">
        <f>(BH69*I69)/1000</f>
        <v/>
      </c>
      <c r="BJ69" s="36">
        <f>BI69*1.06</f>
        <v/>
      </c>
      <c r="BK69" s="35" t="n">
        <v>0</v>
      </c>
      <c r="BL69" s="35" t="n">
        <v>0</v>
      </c>
      <c r="BM69" s="36" t="n">
        <v>0</v>
      </c>
    </row>
    <row r="70" ht="18" customHeight="1">
      <c r="A70" s="37" t="inlineStr">
        <is>
          <t>PANELS SUBTOTAL</t>
        </is>
      </c>
      <c r="B70" s="38" t="inlineStr"/>
      <c r="C70" s="38" t="inlineStr"/>
      <c r="D70" s="38" t="inlineStr"/>
      <c r="E70" s="38" t="inlineStr"/>
      <c r="F70" s="39">
        <f>SUM(F59:F69)</f>
        <v/>
      </c>
      <c r="G70" s="39">
        <f>SUM(G59:G69)</f>
        <v/>
      </c>
      <c r="H70" s="39">
        <f>SUM(H59:H69)</f>
        <v/>
      </c>
      <c r="I70" s="38" t="inlineStr"/>
      <c r="J70" s="40">
        <f>SUM(J59:J69)</f>
        <v/>
      </c>
      <c r="K70" s="40">
        <f>SUM(K59:K69)</f>
        <v/>
      </c>
      <c r="L70" s="41">
        <f>SUM(L59:L69)</f>
        <v/>
      </c>
      <c r="M70" s="41">
        <f>SUM(M59:M69)</f>
        <v/>
      </c>
      <c r="N70" s="38">
        <f>SUM(N59:N69)</f>
        <v/>
      </c>
      <c r="O70" s="38">
        <f>SUM(O59:O69)</f>
        <v/>
      </c>
      <c r="P70" s="38">
        <f>SUM(P59:P69)</f>
        <v/>
      </c>
      <c r="Q70" s="38">
        <f>SUM(Q59:Q69)</f>
        <v/>
      </c>
      <c r="R70" s="38">
        <f>SUM(R59:R69)</f>
        <v/>
      </c>
      <c r="S70" s="38">
        <f>SUM(S59:S69)</f>
        <v/>
      </c>
      <c r="T70" s="38">
        <f>SUM(T59:T69)</f>
        <v/>
      </c>
      <c r="U70" s="38">
        <f>SUM(U59:U69)</f>
        <v/>
      </c>
      <c r="V70" s="38">
        <f>SUM(V59:V69)</f>
        <v/>
      </c>
      <c r="W70" s="38">
        <f>SUM(W59:W69)</f>
        <v/>
      </c>
      <c r="X70" s="38">
        <f>SUM(X59:X69)</f>
        <v/>
      </c>
      <c r="Y70" s="38">
        <f>SUM(Y59:Y69)</f>
        <v/>
      </c>
      <c r="Z70" s="38">
        <f>SUM(Z59:Z69)</f>
        <v/>
      </c>
      <c r="AA70" s="38">
        <f>SUM(AA59:AA69)</f>
        <v/>
      </c>
      <c r="AB70" s="38">
        <f>SUM(AB59:AB69)</f>
        <v/>
      </c>
      <c r="AC70" s="38">
        <f>SUM(AC59:AC69)</f>
        <v/>
      </c>
      <c r="AD70" s="38">
        <f>SUM(AD59:AD69)</f>
        <v/>
      </c>
      <c r="AE70" s="38">
        <f>SUM(AE59:AE69)</f>
        <v/>
      </c>
      <c r="AF70" s="38">
        <f>SUM(AF59:AF69)</f>
        <v/>
      </c>
      <c r="AG70" s="38">
        <f>SUM(AG59:AG69)</f>
        <v/>
      </c>
      <c r="AH70" s="38">
        <f>SUM(AH59:AH69)</f>
        <v/>
      </c>
      <c r="AI70" s="38">
        <f>SUM(AI59:AI69)</f>
        <v/>
      </c>
      <c r="AJ70" s="38">
        <f>SUM(AJ59:AJ69)</f>
        <v/>
      </c>
      <c r="AK70" s="38">
        <f>SUM(AK59:AK69)</f>
        <v/>
      </c>
      <c r="AL70" s="38">
        <f>SUM(AL59:AL69)</f>
        <v/>
      </c>
      <c r="AM70" s="38">
        <f>SUM(AM59:AM69)</f>
        <v/>
      </c>
      <c r="AN70" s="38">
        <f>SUM(AN59:AN69)</f>
        <v/>
      </c>
      <c r="AO70" s="38">
        <f>SUM(AO59:AO69)</f>
        <v/>
      </c>
      <c r="AP70" s="38">
        <f>SUM(AP59:AP69)</f>
        <v/>
      </c>
      <c r="AQ70" s="38">
        <f>SUM(AQ59:AQ69)</f>
        <v/>
      </c>
      <c r="AR70" s="38">
        <f>SUM(AR59:AR69)</f>
        <v/>
      </c>
      <c r="AS70" s="38">
        <f>SUM(AS59:AS69)</f>
        <v/>
      </c>
      <c r="AT70" s="38">
        <f>SUM(AT59:AT69)</f>
        <v/>
      </c>
      <c r="AU70" s="38">
        <f>SUM(AU59:AU69)</f>
        <v/>
      </c>
      <c r="AV70" s="38">
        <f>SUM(AV59:AV69)</f>
        <v/>
      </c>
      <c r="AW70" s="38">
        <f>SUM(AW59:AW69)</f>
        <v/>
      </c>
      <c r="AX70" s="38">
        <f>SUM(AX59:AX69)</f>
        <v/>
      </c>
      <c r="AY70" s="38">
        <f>SUM(AY59:AY69)</f>
        <v/>
      </c>
      <c r="AZ70" s="38" t="inlineStr"/>
      <c r="BA70" s="39">
        <f>SUM(BA59:BA69)</f>
        <v/>
      </c>
      <c r="BB70" s="40">
        <f>SUM(BB59:BB69)</f>
        <v/>
      </c>
      <c r="BC70" s="40">
        <f>SUM(BC59:BC69)</f>
        <v/>
      </c>
      <c r="BD70" s="41">
        <f>SUM(BD59:BD69)</f>
        <v/>
      </c>
      <c r="BE70" s="41">
        <f>SUM(BE59:BE69)</f>
        <v/>
      </c>
      <c r="BF70" s="39">
        <f>SUM(BF59:BF69)</f>
        <v/>
      </c>
      <c r="BG70" s="40">
        <f>SUM(BG59:BG69)</f>
        <v/>
      </c>
      <c r="BH70" s="40">
        <f>SUM(BH59:BH69)</f>
        <v/>
      </c>
      <c r="BI70" s="41">
        <f>SUM(BI59:BI69)</f>
        <v/>
      </c>
      <c r="BJ70" s="41">
        <f>SUM(BJ59:BJ69)</f>
        <v/>
      </c>
      <c r="BK70" s="40">
        <f>SUM(BK59:BK69)</f>
        <v/>
      </c>
      <c r="BL70" s="40">
        <f>SUM(BL59:BL69)</f>
        <v/>
      </c>
      <c r="BM70" s="41">
        <f>SUM(BM59:BM69)</f>
        <v/>
      </c>
    </row>
    <row r="71" ht="5" customHeight="1"/>
    <row r="72" ht="22" customHeight="1">
      <c r="A72" s="42" t="inlineStr">
        <is>
          <t>GRAND TOTAL</t>
        </is>
      </c>
      <c r="B72" s="43" t="inlineStr"/>
      <c r="C72" s="43" t="inlineStr"/>
      <c r="D72" s="43" t="inlineStr"/>
      <c r="E72" s="43" t="inlineStr"/>
      <c r="F72" s="44">
        <f>F38+F46+F57+F70</f>
        <v/>
      </c>
      <c r="G72" s="44">
        <f>G38+G46+G57+G70</f>
        <v/>
      </c>
      <c r="H72" s="44">
        <f>H38+H46+H57+H70</f>
        <v/>
      </c>
      <c r="I72" s="43" t="inlineStr"/>
      <c r="J72" s="45">
        <f>J38+J46+J57+J70</f>
        <v/>
      </c>
      <c r="K72" s="45">
        <f>K38+K46+K57+K70</f>
        <v/>
      </c>
      <c r="L72" s="46">
        <f>L38+L46+L57+L70</f>
        <v/>
      </c>
      <c r="M72" s="46">
        <f>M38+M46+M57+M70</f>
        <v/>
      </c>
      <c r="N72" s="43">
        <f>N38+N46+N57+N70</f>
        <v/>
      </c>
      <c r="O72" s="43">
        <f>O38+O46+O57+O70</f>
        <v/>
      </c>
      <c r="P72" s="43">
        <f>P38+P46+P57+P70</f>
        <v/>
      </c>
      <c r="Q72" s="43">
        <f>Q38+Q46+Q57+Q70</f>
        <v/>
      </c>
      <c r="R72" s="43">
        <f>R38+R46+R57+R70</f>
        <v/>
      </c>
      <c r="S72" s="43">
        <f>S38+S46+S57+S70</f>
        <v/>
      </c>
      <c r="T72" s="43">
        <f>T38+T46+T57+T70</f>
        <v/>
      </c>
      <c r="U72" s="43">
        <f>U38+U46+U57+U70</f>
        <v/>
      </c>
      <c r="V72" s="43">
        <f>V38+V46+V57+V70</f>
        <v/>
      </c>
      <c r="W72" s="43">
        <f>W38+W46+W57+W70</f>
        <v/>
      </c>
      <c r="X72" s="43">
        <f>X38+X46+X57+X70</f>
        <v/>
      </c>
      <c r="Y72" s="43">
        <f>Y38+Y46+Y57+Y70</f>
        <v/>
      </c>
      <c r="Z72" s="43">
        <f>Z38+Z46+Z57+Z70</f>
        <v/>
      </c>
      <c r="AA72" s="43">
        <f>AA38+AA46+AA57+AA70</f>
        <v/>
      </c>
      <c r="AB72" s="43">
        <f>AB38+AB46+AB57+AB70</f>
        <v/>
      </c>
      <c r="AC72" s="43">
        <f>AC38+AC46+AC57+AC70</f>
        <v/>
      </c>
      <c r="AD72" s="43">
        <f>AD38+AD46+AD57+AD70</f>
        <v/>
      </c>
      <c r="AE72" s="43">
        <f>AE38+AE46+AE57+AE70</f>
        <v/>
      </c>
      <c r="AF72" s="43">
        <f>AF38+AF46+AF57+AF70</f>
        <v/>
      </c>
      <c r="AG72" s="43">
        <f>AG38+AG46+AG57+AG70</f>
        <v/>
      </c>
      <c r="AH72" s="43">
        <f>AH38+AH46+AH57+AH70</f>
        <v/>
      </c>
      <c r="AI72" s="43">
        <f>AI38+AI46+AI57+AI70</f>
        <v/>
      </c>
      <c r="AJ72" s="43">
        <f>AJ38+AJ46+AJ57+AJ70</f>
        <v/>
      </c>
      <c r="AK72" s="43">
        <f>AK38+AK46+AK57+AK70</f>
        <v/>
      </c>
      <c r="AL72" s="43">
        <f>AL38+AL46+AL57+AL70</f>
        <v/>
      </c>
      <c r="AM72" s="43">
        <f>AM38+AM46+AM57+AM70</f>
        <v/>
      </c>
      <c r="AN72" s="43">
        <f>AN38+AN46+AN57+AN70</f>
        <v/>
      </c>
      <c r="AO72" s="43">
        <f>AO38+AO46+AO57+AO70</f>
        <v/>
      </c>
      <c r="AP72" s="43">
        <f>AP38+AP46+AP57+AP70</f>
        <v/>
      </c>
      <c r="AQ72" s="43">
        <f>AQ38+AQ46+AQ57+AQ70</f>
        <v/>
      </c>
      <c r="AR72" s="43">
        <f>AR38+AR46+AR57+AR70</f>
        <v/>
      </c>
      <c r="AS72" s="43">
        <f>AS38+AS46+AS57+AS70</f>
        <v/>
      </c>
      <c r="AT72" s="43">
        <f>AT38+AT46+AT57+AT70</f>
        <v/>
      </c>
      <c r="AU72" s="43">
        <f>AU38+AU46+AU57+AU70</f>
        <v/>
      </c>
      <c r="AV72" s="43">
        <f>AV38+AV46+AV57+AV70</f>
        <v/>
      </c>
      <c r="AW72" s="43">
        <f>AW38+AW46+AW57+AW70</f>
        <v/>
      </c>
      <c r="AX72" s="43">
        <f>AX38+AX46+AX57+AX70</f>
        <v/>
      </c>
      <c r="AY72" s="43">
        <f>AY38+AY46+AY57+AY70</f>
        <v/>
      </c>
      <c r="AZ72" s="43" t="inlineStr"/>
      <c r="BA72" s="44">
        <f>BA38+BA46+BA57+BA70</f>
        <v/>
      </c>
      <c r="BB72" s="45">
        <f>BB38+BB46+BB57+BB70</f>
        <v/>
      </c>
      <c r="BC72" s="45">
        <f>BC38+BC46+BC57+BC70</f>
        <v/>
      </c>
      <c r="BD72" s="46">
        <f>BD38+BD46+BD57+BD70</f>
        <v/>
      </c>
      <c r="BE72" s="46">
        <f>BE38+BE46+BE57+BE70</f>
        <v/>
      </c>
      <c r="BF72" s="44">
        <f>BF38+BF46+BF57+BF70</f>
        <v/>
      </c>
      <c r="BG72" s="45">
        <f>BG38+BG46+BG57+BG70</f>
        <v/>
      </c>
      <c r="BH72" s="45">
        <f>BH38+BH46+BH57+BH70</f>
        <v/>
      </c>
      <c r="BI72" s="46">
        <f>BI38+BI46+BI57+BI70</f>
        <v/>
      </c>
      <c r="BJ72" s="46">
        <f>BJ38+BJ46+BJ57+BJ70</f>
        <v/>
      </c>
      <c r="BK72" s="45">
        <f>BK38+BK46+BK57+BK70</f>
        <v/>
      </c>
      <c r="BL72" s="45">
        <f>BL38+BL46+BL57+BL70</f>
        <v/>
      </c>
      <c r="BM72" s="46">
        <f>BM38+BM46+BM57+BM70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Footage/SF</t>
        </is>
      </c>
      <c r="K1" s="1" t="inlineStr">
        <is>
          <t>LF</t>
        </is>
      </c>
      <c r="L1" s="1" t="inlineStr">
        <is>
          <t>BF/SF</t>
        </is>
      </c>
      <c r="M1" s="1" t="inlineStr">
        <is>
          <t>Amount</t>
        </is>
      </c>
      <c r="N1" s="1" t="inlineStr">
        <is>
          <t>Amount+Tax</t>
        </is>
      </c>
      <c r="O1" s="1" t="inlineStr">
        <is>
          <t>Action</t>
        </is>
      </c>
      <c r="P1" s="1" t="inlineStr">
        <is>
          <t>Matched PO Item</t>
        </is>
      </c>
    </row>
    <row r="2">
      <c r="A2" s="32" t="inlineStr">
        <is>
          <t>001</t>
        </is>
      </c>
      <c r="B2" s="32" t="inlineStr">
        <is>
          <t>2025-02-11</t>
        </is>
      </c>
      <c r="C2" s="32" t="inlineStr">
        <is>
          <t>Panels</t>
        </is>
      </c>
      <c r="D2" s="33" t="inlineStr">
        <is>
          <t>15/32" 4X8 OSB</t>
        </is>
      </c>
      <c r="E2" s="32" t="n">
        <v>0.46875</v>
      </c>
      <c r="F2" s="32" t="n">
        <v>8</v>
      </c>
      <c r="G2" s="32" t="inlineStr"/>
      <c r="H2" s="34" t="n">
        <v>-981</v>
      </c>
      <c r="I2" s="36" t="n">
        <v>395</v>
      </c>
      <c r="J2" s="32" t="n">
        <v>-31392</v>
      </c>
      <c r="K2" s="32" t="n">
        <v>0</v>
      </c>
      <c r="L2" s="32" t="n">
        <v>31392</v>
      </c>
      <c r="M2" s="36" t="n">
        <v>-12399.84</v>
      </c>
      <c r="N2" s="36" t="n">
        <v>-13143.83</v>
      </c>
      <c r="O2" s="33" t="inlineStr">
        <is>
          <t>update_po_qty</t>
        </is>
      </c>
      <c r="P2" s="33" t="inlineStr">
        <is>
          <t>15/32" OSB</t>
        </is>
      </c>
    </row>
    <row r="3">
      <c r="A3" s="32" t="inlineStr">
        <is>
          <t>001</t>
        </is>
      </c>
      <c r="B3" s="32" t="inlineStr">
        <is>
          <t>2025-02-11</t>
        </is>
      </c>
      <c r="C3" s="32" t="inlineStr">
        <is>
          <t>Panels</t>
        </is>
      </c>
      <c r="D3" s="33" t="inlineStr">
        <is>
          <t>19/32" 4X8 PLYWOOD</t>
        </is>
      </c>
      <c r="E3" s="32" t="n">
        <v>0.59375</v>
      </c>
      <c r="F3" s="32" t="n">
        <v>8</v>
      </c>
      <c r="G3" s="32" t="inlineStr"/>
      <c r="H3" s="34" t="n">
        <v>981</v>
      </c>
      <c r="I3" s="36" t="n">
        <v>855</v>
      </c>
      <c r="J3" s="32" t="n">
        <v>31392</v>
      </c>
      <c r="K3" s="32" t="n">
        <v>0</v>
      </c>
      <c r="L3" s="32" t="n">
        <v>31392</v>
      </c>
      <c r="M3" s="36" t="n">
        <v>26840.16</v>
      </c>
      <c r="N3" s="36" t="n">
        <v>28450.57</v>
      </c>
      <c r="O3" s="33" t="inlineStr">
        <is>
          <t>add_new</t>
        </is>
      </c>
      <c r="P3" s="33" t="inlineStr">
        <is>
          <t>NEW</t>
        </is>
      </c>
    </row>
    <row r="4">
      <c r="A4" s="32" t="inlineStr">
        <is>
          <t>001</t>
        </is>
      </c>
      <c r="B4" s="32" t="inlineStr">
        <is>
          <t>2025-02-11</t>
        </is>
      </c>
      <c r="C4" s="32" t="inlineStr">
        <is>
          <t>Panels</t>
        </is>
      </c>
      <c r="D4" s="33" t="inlineStr">
        <is>
          <t>15/32" 4X8 PLYWOOD PT</t>
        </is>
      </c>
      <c r="E4" s="32" t="n">
        <v>0.46875</v>
      </c>
      <c r="F4" s="32" t="n">
        <v>8</v>
      </c>
      <c r="G4" s="32" t="inlineStr"/>
      <c r="H4" s="34" t="n">
        <v>325</v>
      </c>
      <c r="I4" s="36" t="n">
        <v>1055</v>
      </c>
      <c r="J4" s="32" t="n">
        <v>10400</v>
      </c>
      <c r="K4" s="32" t="n">
        <v>0</v>
      </c>
      <c r="L4" s="32" t="n">
        <v>10400</v>
      </c>
      <c r="M4" s="36" t="n">
        <v>10972</v>
      </c>
      <c r="N4" s="36" t="n">
        <v>11630.32</v>
      </c>
      <c r="O4" s="33" t="inlineStr">
        <is>
          <t>add_new</t>
        </is>
      </c>
      <c r="P4" s="33" t="inlineStr">
        <is>
          <t>NEW</t>
        </is>
      </c>
    </row>
    <row r="5">
      <c r="A5" s="32" t="inlineStr">
        <is>
          <t>002</t>
        </is>
      </c>
      <c r="B5" s="32" t="inlineStr">
        <is>
          <t>2025-02-11</t>
        </is>
      </c>
      <c r="C5" s="32" t="inlineStr">
        <is>
          <t>Panels</t>
        </is>
      </c>
      <c r="D5" s="33" t="inlineStr">
        <is>
          <t>23/32" 4X8 OSB T&amp;G</t>
        </is>
      </c>
      <c r="E5" s="32" t="n">
        <v>0.71875</v>
      </c>
      <c r="F5" s="32" t="n">
        <v>8</v>
      </c>
      <c r="G5" s="32" t="inlineStr"/>
      <c r="H5" s="34" t="n">
        <v>-917</v>
      </c>
      <c r="I5" s="36" t="n">
        <v>525</v>
      </c>
      <c r="J5" s="32" t="n">
        <v>-29344</v>
      </c>
      <c r="K5" s="32" t="n">
        <v>0</v>
      </c>
      <c r="L5" s="32" t="n">
        <v>29344</v>
      </c>
      <c r="M5" s="36" t="n">
        <v>-15405.6</v>
      </c>
      <c r="N5" s="36" t="n">
        <v>-16329.94</v>
      </c>
      <c r="O5" s="33" t="inlineStr">
        <is>
          <t>update_po_qty</t>
        </is>
      </c>
      <c r="P5" s="33" t="inlineStr">
        <is>
          <t>23/32" OSB T&amp;G</t>
        </is>
      </c>
    </row>
    <row r="6">
      <c r="A6" s="32" t="inlineStr">
        <is>
          <t>002</t>
        </is>
      </c>
      <c r="B6" s="32" t="inlineStr">
        <is>
          <t>2025-02-11</t>
        </is>
      </c>
      <c r="C6" s="32" t="inlineStr">
        <is>
          <t>Panels</t>
        </is>
      </c>
      <c r="D6" s="33" t="inlineStr">
        <is>
          <t>23/32" 4X8 OSB T&amp;G ADVANTECH</t>
        </is>
      </c>
      <c r="E6" s="32" t="n">
        <v>0.71875</v>
      </c>
      <c r="F6" s="32" t="n">
        <v>8</v>
      </c>
      <c r="G6" s="32" t="inlineStr"/>
      <c r="H6" s="34" t="n">
        <v>917</v>
      </c>
      <c r="I6" s="36" t="n">
        <v>1015</v>
      </c>
      <c r="J6" s="32" t="n">
        <v>29344</v>
      </c>
      <c r="K6" s="32" t="n">
        <v>0</v>
      </c>
      <c r="L6" s="32" t="n">
        <v>29344</v>
      </c>
      <c r="M6" s="36" t="n">
        <v>29784.16</v>
      </c>
      <c r="N6" s="36" t="n">
        <v>31571.21</v>
      </c>
      <c r="O6" s="33" t="inlineStr">
        <is>
          <t>add_new</t>
        </is>
      </c>
      <c r="P6" s="33" t="inlineStr">
        <is>
          <t>NEW</t>
        </is>
      </c>
    </row>
    <row r="7">
      <c r="A7" s="2" t="inlineStr">
        <is>
          <t>003</t>
        </is>
      </c>
      <c r="B7" s="2" t="inlineStr">
        <is>
          <t>2025-08-12</t>
        </is>
      </c>
      <c r="C7" s="2" t="inlineStr">
        <is>
          <t>Lumber</t>
        </is>
      </c>
      <c r="D7" s="3" t="inlineStr">
        <is>
          <t>SYP DRY #2 STUD PT 104-5/8" 2X6X9</t>
        </is>
      </c>
      <c r="E7" s="2" t="n">
        <v>2</v>
      </c>
      <c r="F7" s="2" t="n">
        <v>6</v>
      </c>
      <c r="G7" s="2" t="n">
        <v>9</v>
      </c>
      <c r="H7" s="4" t="n">
        <v>1063</v>
      </c>
      <c r="I7" s="6" t="n">
        <v>525</v>
      </c>
      <c r="J7" s="2" t="n">
        <v>9567</v>
      </c>
      <c r="K7" s="2" t="n">
        <v>9567</v>
      </c>
      <c r="L7" s="2" t="n">
        <v>9567</v>
      </c>
      <c r="M7" s="6" t="n">
        <v>5022.68</v>
      </c>
      <c r="N7" s="6" t="n">
        <v>5324.04</v>
      </c>
      <c r="O7" s="3" t="inlineStr">
        <is>
          <t>update_po_qty</t>
        </is>
      </c>
      <c r="P7" s="3" t="inlineStr">
        <is>
          <t>2 x 6 9 SYP #2 PET 104-5/8</t>
        </is>
      </c>
    </row>
    <row r="8">
      <c r="A8" s="32" t="inlineStr">
        <is>
          <t>003</t>
        </is>
      </c>
      <c r="B8" s="32" t="inlineStr">
        <is>
          <t>2025-08-12</t>
        </is>
      </c>
      <c r="C8" s="32" t="inlineStr">
        <is>
          <t>Panels</t>
        </is>
      </c>
      <c r="D8" s="33" t="inlineStr">
        <is>
          <t>23/32" 4X8 OSB T&amp;G ADVANTECH</t>
        </is>
      </c>
      <c r="E8" s="32" t="n">
        <v>0.71875</v>
      </c>
      <c r="F8" s="32" t="n">
        <v>8</v>
      </c>
      <c r="G8" s="32" t="inlineStr"/>
      <c r="H8" s="34" t="n">
        <v>135</v>
      </c>
      <c r="I8" s="36" t="n">
        <v>1015</v>
      </c>
      <c r="J8" s="32" t="n">
        <v>4320</v>
      </c>
      <c r="K8" s="32" t="n">
        <v>0</v>
      </c>
      <c r="L8" s="32" t="n">
        <v>4320</v>
      </c>
      <c r="M8" s="36" t="n">
        <v>4384.8</v>
      </c>
      <c r="N8" s="36" t="n">
        <v>4647.89</v>
      </c>
      <c r="O8" s="33" t="inlineStr">
        <is>
          <t>update_po_qty</t>
        </is>
      </c>
      <c r="P8" s="33" t="inlineStr">
        <is>
          <t>23/32" 4X8 OSB T&amp;G ADVANTECH (CO#002)</t>
        </is>
      </c>
    </row>
    <row r="9">
      <c r="A9" s="2" t="inlineStr">
        <is>
          <t>004</t>
        </is>
      </c>
      <c r="B9" s="2" t="inlineStr">
        <is>
          <t>2025-10-12</t>
        </is>
      </c>
      <c r="C9" s="2" t="inlineStr">
        <is>
          <t>Lumber</t>
        </is>
      </c>
      <c r="D9" s="3" t="inlineStr">
        <is>
          <t>SYP DRY #2 S4S 2X4XR/L</t>
        </is>
      </c>
      <c r="E9" s="2" t="n">
        <v>2</v>
      </c>
      <c r="F9" s="2" t="n">
        <v>4</v>
      </c>
      <c r="G9" s="2" t="n">
        <v>1</v>
      </c>
      <c r="H9" s="4" t="n">
        <v>9984</v>
      </c>
      <c r="I9" s="6" t="n">
        <v>515</v>
      </c>
      <c r="J9" s="2" t="n">
        <v>6656</v>
      </c>
      <c r="K9" s="2" t="n">
        <v>9984</v>
      </c>
      <c r="L9" s="2" t="n">
        <v>6656</v>
      </c>
      <c r="M9" s="6" t="n">
        <v>3427.84</v>
      </c>
      <c r="N9" s="6" t="n">
        <v>3633.51</v>
      </c>
      <c r="O9" s="3" t="inlineStr">
        <is>
          <t>update_po_qty</t>
        </is>
      </c>
      <c r="P9" s="3" t="inlineStr">
        <is>
          <t>2 x 4 1 SYP #2</t>
        </is>
      </c>
    </row>
    <row r="10">
      <c r="A10" s="2" t="inlineStr">
        <is>
          <t>005</t>
        </is>
      </c>
      <c r="B10" s="2" t="inlineStr">
        <is>
          <t>2025-12-12</t>
        </is>
      </c>
      <c r="C10" s="2" t="inlineStr">
        <is>
          <t>Lumber</t>
        </is>
      </c>
      <c r="D10" s="3" t="inlineStr">
        <is>
          <t>SYP DRY #2 STUD PET 104-5/8" 2X4X9</t>
        </is>
      </c>
      <c r="E10" s="2" t="n">
        <v>2</v>
      </c>
      <c r="F10" s="2" t="n">
        <v>4</v>
      </c>
      <c r="G10" s="2" t="n">
        <v>9</v>
      </c>
      <c r="H10" s="4" t="n">
        <v>1664</v>
      </c>
      <c r="I10" s="6" t="n">
        <v>545</v>
      </c>
      <c r="J10" s="2" t="n">
        <v>9984</v>
      </c>
      <c r="K10" s="2" t="n">
        <v>14976</v>
      </c>
      <c r="L10" s="2" t="n">
        <v>9984</v>
      </c>
      <c r="M10" s="6" t="n">
        <v>5441.28</v>
      </c>
      <c r="N10" s="6" t="n">
        <v>5767.76</v>
      </c>
      <c r="O10" s="3" t="inlineStr">
        <is>
          <t>add_new</t>
        </is>
      </c>
      <c r="P10" s="3" t="inlineStr">
        <is>
          <t>NEW</t>
        </is>
      </c>
    </row>
    <row r="11">
      <c r="A11" s="2" t="inlineStr">
        <is>
          <t>005</t>
        </is>
      </c>
      <c r="B11" s="2" t="inlineStr">
        <is>
          <t>2025-12-12</t>
        </is>
      </c>
      <c r="C11" s="2" t="inlineStr">
        <is>
          <t>Lumber</t>
        </is>
      </c>
      <c r="D11" s="3" t="inlineStr">
        <is>
          <t>SYP DRY #2 S4S 2X6XR/L</t>
        </is>
      </c>
      <c r="E11" s="2" t="n">
        <v>2</v>
      </c>
      <c r="F11" s="2" t="n">
        <v>6</v>
      </c>
      <c r="G11" s="2" t="n">
        <v>1</v>
      </c>
      <c r="H11" s="4" t="n">
        <v>3748</v>
      </c>
      <c r="I11" s="6" t="n">
        <v>435</v>
      </c>
      <c r="J11" s="2" t="n">
        <v>3748</v>
      </c>
      <c r="K11" s="2" t="n">
        <v>3748</v>
      </c>
      <c r="L11" s="2" t="n">
        <v>3748</v>
      </c>
      <c r="M11" s="6" t="n">
        <v>1630.38</v>
      </c>
      <c r="N11" s="6" t="n">
        <v>1728.2</v>
      </c>
      <c r="O11" s="3" t="inlineStr">
        <is>
          <t>update_po_qty</t>
        </is>
      </c>
      <c r="P11" s="3" t="inlineStr">
        <is>
          <t>2 x 6 1 SYP #2</t>
        </is>
      </c>
    </row>
    <row r="12">
      <c r="A12" s="2" t="inlineStr">
        <is>
          <t>006</t>
        </is>
      </c>
      <c r="B12" s="2" t="inlineStr">
        <is>
          <t>2025-02-12</t>
        </is>
      </c>
      <c r="C12" s="2" t="inlineStr">
        <is>
          <t>Lumber</t>
        </is>
      </c>
      <c r="D12" s="3" t="inlineStr">
        <is>
          <t>SYP PT #2 S4S 2X8XR/L</t>
        </is>
      </c>
      <c r="E12" s="2" t="n">
        <v>2</v>
      </c>
      <c r="F12" s="2" t="n">
        <v>8</v>
      </c>
      <c r="G12" s="2" t="n">
        <v>1</v>
      </c>
      <c r="H12" s="4" t="n">
        <v>4032</v>
      </c>
      <c r="I12" s="6" t="n">
        <v>815</v>
      </c>
      <c r="J12" s="2" t="n">
        <v>5376</v>
      </c>
      <c r="K12" s="2" t="n">
        <v>4032</v>
      </c>
      <c r="L12" s="2" t="n">
        <v>5376</v>
      </c>
      <c r="M12" s="6" t="n">
        <v>4381.44</v>
      </c>
      <c r="N12" s="6" t="n">
        <v>4644.33</v>
      </c>
      <c r="O12" s="3" t="inlineStr">
        <is>
          <t>update_po_qty</t>
        </is>
      </c>
      <c r="P12" s="3" t="inlineStr">
        <is>
          <t>2 x 8 1 PT</t>
        </is>
      </c>
    </row>
    <row r="13">
      <c r="A13" s="32" t="inlineStr">
        <is>
          <t>008</t>
        </is>
      </c>
      <c r="B13" s="32" t="inlineStr">
        <is>
          <t>2025-12-22</t>
        </is>
      </c>
      <c r="C13" s="32" t="inlineStr">
        <is>
          <t>Panels</t>
        </is>
      </c>
      <c r="D13" s="33" t="inlineStr">
        <is>
          <t>23/32" 4X8 OSB T&amp;G PT</t>
        </is>
      </c>
      <c r="E13" s="32" t="n">
        <v>0.71875</v>
      </c>
      <c r="F13" s="32" t="n">
        <v>8</v>
      </c>
      <c r="G13" s="32" t="inlineStr"/>
      <c r="H13" s="34" t="n">
        <v>50</v>
      </c>
      <c r="I13" s="36" t="n">
        <v>1285</v>
      </c>
      <c r="J13" s="32" t="n">
        <v>1600</v>
      </c>
      <c r="K13" s="32" t="n">
        <v>0</v>
      </c>
      <c r="L13" s="32" t="n">
        <v>1600</v>
      </c>
      <c r="M13" s="36" t="n">
        <v>2056</v>
      </c>
      <c r="N13" s="36" t="n">
        <v>2179.36</v>
      </c>
      <c r="O13" s="33" t="inlineStr">
        <is>
          <t>update_po_qty</t>
        </is>
      </c>
      <c r="P13" s="33" t="inlineStr">
        <is>
          <t>23/32" OSB T&amp;G - PT</t>
        </is>
      </c>
    </row>
    <row r="14">
      <c r="A14" s="2" t="inlineStr">
        <is>
          <t>009</t>
        </is>
      </c>
      <c r="B14" s="2" t="inlineStr">
        <is>
          <t>2025-12-29</t>
        </is>
      </c>
      <c r="C14" s="2" t="inlineStr">
        <is>
          <t>Lumber</t>
        </is>
      </c>
      <c r="D14" s="3" t="inlineStr">
        <is>
          <t>SYP DRY #2 S4S 2X4XR/L</t>
        </is>
      </c>
      <c r="E14" s="2" t="n">
        <v>2</v>
      </c>
      <c r="F14" s="2" t="n">
        <v>4</v>
      </c>
      <c r="G14" s="2" t="n">
        <v>1</v>
      </c>
      <c r="H14" s="4" t="n">
        <v>2496</v>
      </c>
      <c r="I14" s="6" t="n">
        <v>515</v>
      </c>
      <c r="J14" s="2" t="n">
        <v>1664</v>
      </c>
      <c r="K14" s="2" t="n">
        <v>2496</v>
      </c>
      <c r="L14" s="2" t="n">
        <v>1664</v>
      </c>
      <c r="M14" s="6" t="n">
        <v>856.96</v>
      </c>
      <c r="N14" s="6" t="n">
        <v>908.38</v>
      </c>
      <c r="O14" s="3" t="inlineStr">
        <is>
          <t>update_po_qty</t>
        </is>
      </c>
      <c r="P14" s="3" t="inlineStr">
        <is>
          <t>2 x 4 1 SYP #2</t>
        </is>
      </c>
    </row>
    <row r="15">
      <c r="A15" s="2" t="inlineStr">
        <is>
          <t>009</t>
        </is>
      </c>
      <c r="B15" s="2" t="inlineStr">
        <is>
          <t>2025-12-29</t>
        </is>
      </c>
      <c r="C15" s="2" t="inlineStr">
        <is>
          <t>Lumber</t>
        </is>
      </c>
      <c r="D15" s="3" t="inlineStr">
        <is>
          <t>SYP DRY #2 S4S 2X6XR/L</t>
        </is>
      </c>
      <c r="E15" s="2" t="n">
        <v>2</v>
      </c>
      <c r="F15" s="2" t="n">
        <v>6</v>
      </c>
      <c r="G15" s="2" t="n">
        <v>1</v>
      </c>
      <c r="H15" s="4" t="n">
        <v>3584</v>
      </c>
      <c r="I15" s="6" t="n">
        <v>495</v>
      </c>
      <c r="J15" s="2" t="n">
        <v>3584</v>
      </c>
      <c r="K15" s="2" t="n">
        <v>3584</v>
      </c>
      <c r="L15" s="2" t="n">
        <v>3584</v>
      </c>
      <c r="M15" s="6" t="n">
        <v>1774.08</v>
      </c>
      <c r="N15" s="6" t="n">
        <v>1880.52</v>
      </c>
      <c r="O15" s="3" t="inlineStr">
        <is>
          <t>add_new</t>
        </is>
      </c>
      <c r="P15" s="3" t="inlineStr">
        <is>
          <t>NEW</t>
        </is>
      </c>
    </row>
    <row r="16">
      <c r="A16" s="2" t="inlineStr">
        <is>
          <t>009</t>
        </is>
      </c>
      <c r="B16" s="2" t="inlineStr">
        <is>
          <t>2025-12-29</t>
        </is>
      </c>
      <c r="C16" s="2" t="inlineStr">
        <is>
          <t>Lumber</t>
        </is>
      </c>
      <c r="D16" s="3" t="inlineStr">
        <is>
          <t>SYP DRY #2 STUD PET 104-5/8" 2X6X9</t>
        </is>
      </c>
      <c r="E16" s="2" t="n">
        <v>2</v>
      </c>
      <c r="F16" s="2" t="n">
        <v>6</v>
      </c>
      <c r="G16" s="2" t="n">
        <v>9</v>
      </c>
      <c r="H16" s="4" t="n">
        <v>128</v>
      </c>
      <c r="I16" s="6" t="n">
        <v>525</v>
      </c>
      <c r="J16" s="2" t="n">
        <v>1152</v>
      </c>
      <c r="K16" s="2" t="n">
        <v>1152</v>
      </c>
      <c r="L16" s="2" t="n">
        <v>1152</v>
      </c>
      <c r="M16" s="6" t="n">
        <v>604.8</v>
      </c>
      <c r="N16" s="6" t="n">
        <v>641.09</v>
      </c>
      <c r="O16" s="3" t="inlineStr">
        <is>
          <t>update_po_qty</t>
        </is>
      </c>
      <c r="P16" s="3" t="inlineStr">
        <is>
          <t>2 x 6 9 SYP #2 PET 104-5/8</t>
        </is>
      </c>
    </row>
    <row r="17">
      <c r="A17" s="32" t="inlineStr">
        <is>
          <t>009</t>
        </is>
      </c>
      <c r="B17" s="32" t="inlineStr">
        <is>
          <t>2025-12-29</t>
        </is>
      </c>
      <c r="C17" s="32" t="inlineStr">
        <is>
          <t>Panels</t>
        </is>
      </c>
      <c r="D17" s="33" t="inlineStr">
        <is>
          <t>19/32" 4X8 PLYWOOD</t>
        </is>
      </c>
      <c r="E17" s="32" t="n">
        <v>0.59375</v>
      </c>
      <c r="F17" s="32" t="n">
        <v>8</v>
      </c>
      <c r="G17" s="32" t="inlineStr"/>
      <c r="H17" s="34" t="n">
        <v>196</v>
      </c>
      <c r="I17" s="36" t="n">
        <v>855</v>
      </c>
      <c r="J17" s="32" t="n">
        <v>6272</v>
      </c>
      <c r="K17" s="32" t="n">
        <v>0</v>
      </c>
      <c r="L17" s="32" t="n">
        <v>6272</v>
      </c>
      <c r="M17" s="36" t="n">
        <v>5362.56</v>
      </c>
      <c r="N17" s="36" t="n">
        <v>5684.31</v>
      </c>
      <c r="O17" s="33" t="inlineStr">
        <is>
          <t>update_po_qty</t>
        </is>
      </c>
      <c r="P17" s="33" t="inlineStr">
        <is>
          <t>19/32" 4X8 PLYWOOD (CO#001)</t>
        </is>
      </c>
    </row>
    <row r="18">
      <c r="A18" s="2" t="inlineStr">
        <is>
          <t>010</t>
        </is>
      </c>
      <c r="B18" s="2" t="inlineStr">
        <is>
          <t>2026-01-16</t>
        </is>
      </c>
      <c r="C18" s="2" t="inlineStr">
        <is>
          <t>Lumber</t>
        </is>
      </c>
      <c r="D18" s="3" t="inlineStr">
        <is>
          <t>SYP DRY #2 S4S 2X4XR/L</t>
        </is>
      </c>
      <c r="E18" s="2" t="n">
        <v>2</v>
      </c>
      <c r="F18" s="2" t="n">
        <v>4</v>
      </c>
      <c r="G18" s="2" t="n">
        <v>1</v>
      </c>
      <c r="H18" s="4" t="n">
        <v>2912</v>
      </c>
      <c r="I18" s="6" t="n">
        <v>515</v>
      </c>
      <c r="J18" s="2" t="n">
        <v>1941</v>
      </c>
      <c r="K18" s="2" t="n">
        <v>2912</v>
      </c>
      <c r="L18" s="2" t="n">
        <v>1941.3333</v>
      </c>
      <c r="M18" s="6" t="n">
        <v>999.79</v>
      </c>
      <c r="N18" s="6" t="n">
        <v>1059.78</v>
      </c>
      <c r="O18" s="3" t="inlineStr">
        <is>
          <t>update_po_qty</t>
        </is>
      </c>
      <c r="P18" s="3" t="inlineStr">
        <is>
          <t>2 x 4 1 SYP #2</t>
        </is>
      </c>
    </row>
    <row r="19">
      <c r="A19" s="2" t="inlineStr">
        <is>
          <t>011</t>
        </is>
      </c>
      <c r="B19" s="2" t="inlineStr">
        <is>
          <t>2026-01-13</t>
        </is>
      </c>
      <c r="C19" s="2" t="inlineStr">
        <is>
          <t>Lumber</t>
        </is>
      </c>
      <c r="D19" s="3" t="inlineStr">
        <is>
          <t>SYP DRY #2 S4S 2X4XR/L</t>
        </is>
      </c>
      <c r="E19" s="2" t="n">
        <v>2</v>
      </c>
      <c r="F19" s="2" t="n">
        <v>4</v>
      </c>
      <c r="G19" s="2" t="n">
        <v>1</v>
      </c>
      <c r="H19" s="4" t="n">
        <v>7488</v>
      </c>
      <c r="I19" s="6" t="n">
        <v>515</v>
      </c>
      <c r="J19" s="2" t="n">
        <v>4992</v>
      </c>
      <c r="K19" s="2" t="n">
        <v>7488</v>
      </c>
      <c r="L19" s="2" t="n">
        <v>4992</v>
      </c>
      <c r="M19" s="6" t="n">
        <v>2570.88</v>
      </c>
      <c r="N19" s="6" t="n">
        <v>2725.13</v>
      </c>
      <c r="O19" s="3" t="inlineStr">
        <is>
          <t>update_po_qty</t>
        </is>
      </c>
      <c r="P19" s="3" t="inlineStr">
        <is>
          <t>2 x 4 1 SYP #2</t>
        </is>
      </c>
    </row>
    <row r="20">
      <c r="A20" s="32" t="inlineStr">
        <is>
          <t>012</t>
        </is>
      </c>
      <c r="B20" s="32" t="inlineStr">
        <is>
          <t>2026-01-26</t>
        </is>
      </c>
      <c r="C20" s="32" t="inlineStr">
        <is>
          <t>Panels</t>
        </is>
      </c>
      <c r="D20" s="33" t="inlineStr">
        <is>
          <t>19/32" 4X8 PLYWOOD</t>
        </is>
      </c>
      <c r="E20" s="32" t="n">
        <v>0.59375</v>
      </c>
      <c r="F20" s="32" t="n">
        <v>8</v>
      </c>
      <c r="G20" s="32" t="inlineStr"/>
      <c r="H20" s="34" t="n">
        <v>56</v>
      </c>
      <c r="I20" s="36" t="n">
        <v>855</v>
      </c>
      <c r="J20" s="32" t="n">
        <v>1792</v>
      </c>
      <c r="K20" s="32" t="n">
        <v>0</v>
      </c>
      <c r="L20" s="32" t="n">
        <v>1792</v>
      </c>
      <c r="M20" s="36" t="n">
        <v>1532.16</v>
      </c>
      <c r="N20" s="36" t="n">
        <v>1624.09</v>
      </c>
      <c r="O20" s="33" t="inlineStr">
        <is>
          <t>update_po_qty</t>
        </is>
      </c>
      <c r="P20" s="33" t="inlineStr">
        <is>
          <t>19/32" 4X8 PLYWOOD (CO#001)</t>
        </is>
      </c>
    </row>
    <row r="21">
      <c r="A21" s="2" t="inlineStr">
        <is>
          <t>015</t>
        </is>
      </c>
      <c r="B21" s="2" t="inlineStr">
        <is>
          <t>2026-03-13</t>
        </is>
      </c>
      <c r="C21" s="2" t="inlineStr">
        <is>
          <t>Lumber</t>
        </is>
      </c>
      <c r="D21" s="3" t="inlineStr">
        <is>
          <t>SYP DRY #2 S4S 2X4XR/L</t>
        </is>
      </c>
      <c r="E21" s="2" t="n">
        <v>2</v>
      </c>
      <c r="F21" s="2" t="n">
        <v>4</v>
      </c>
      <c r="G21" s="2" t="n">
        <v>1</v>
      </c>
      <c r="H21" s="4" t="n">
        <v>2496</v>
      </c>
      <c r="I21" s="6" t="n">
        <v>515</v>
      </c>
      <c r="J21" s="2" t="n">
        <v>1664</v>
      </c>
      <c r="K21" s="2" t="n">
        <v>2496</v>
      </c>
      <c r="L21" s="2" t="n">
        <v>1664</v>
      </c>
      <c r="M21" s="6" t="n">
        <v>856.96</v>
      </c>
      <c r="N21" s="6" t="n">
        <v>908.38</v>
      </c>
      <c r="O21" s="3" t="inlineStr">
        <is>
          <t>update_po_qty</t>
        </is>
      </c>
      <c r="P21" s="3" t="inlineStr">
        <is>
          <t>2 x 4 1 SYP #2</t>
        </is>
      </c>
    </row>
    <row r="22">
      <c r="A22" s="2" t="inlineStr">
        <is>
          <t>014</t>
        </is>
      </c>
      <c r="B22" s="2" t="inlineStr">
        <is>
          <t>2026-03-09</t>
        </is>
      </c>
      <c r="C22" s="2" t="inlineStr">
        <is>
          <t>Lumber</t>
        </is>
      </c>
      <c r="D22" s="3" t="inlineStr">
        <is>
          <t>SYP DRY #2 STUD PET 104-5/8" 2X6X9</t>
        </is>
      </c>
      <c r="E22" s="2" t="n">
        <v>2</v>
      </c>
      <c r="F22" s="2" t="n">
        <v>6</v>
      </c>
      <c r="G22" s="2" t="n">
        <v>9</v>
      </c>
      <c r="H22" s="4" t="n">
        <v>128</v>
      </c>
      <c r="I22" s="6" t="n">
        <v>645</v>
      </c>
      <c r="J22" s="2" t="n">
        <v>1152</v>
      </c>
      <c r="K22" s="2" t="n">
        <v>1152</v>
      </c>
      <c r="L22" s="2" t="n">
        <v>1152</v>
      </c>
      <c r="M22" s="6" t="n">
        <v>743.04</v>
      </c>
      <c r="N22" s="6" t="n">
        <v>787.62</v>
      </c>
      <c r="O22" s="3" t="inlineStr">
        <is>
          <t>add_new</t>
        </is>
      </c>
      <c r="P22" s="3" t="inlineStr">
        <is>
          <t>NEW</t>
        </is>
      </c>
    </row>
    <row r="23">
      <c r="A23" s="12" t="inlineStr">
        <is>
          <t>014</t>
        </is>
      </c>
      <c r="B23" s="12" t="inlineStr">
        <is>
          <t>2026-03-09</t>
        </is>
      </c>
      <c r="C23" s="12" t="inlineStr">
        <is>
          <t>LVL</t>
        </is>
      </c>
      <c r="D23" s="13" t="inlineStr">
        <is>
          <t>3-1/2X11-7/8 GLULAM BEAM 6/12'</t>
        </is>
      </c>
      <c r="E23" s="12" t="n">
        <v>3.5</v>
      </c>
      <c r="F23" s="12" t="n">
        <v>11.875</v>
      </c>
      <c r="G23" s="12" t="n">
        <v>12</v>
      </c>
      <c r="H23" s="14" t="n">
        <v>6</v>
      </c>
      <c r="I23" s="16" t="n">
        <v>19.45</v>
      </c>
      <c r="J23" s="12" t="n">
        <v>72</v>
      </c>
      <c r="K23" s="12" t="n">
        <v>72</v>
      </c>
      <c r="L23" s="12" t="n">
        <v>72</v>
      </c>
      <c r="M23" s="16" t="n">
        <v>1400.4</v>
      </c>
      <c r="N23" s="16" t="n">
        <v>1484.42</v>
      </c>
      <c r="O23" s="13" t="inlineStr">
        <is>
          <t>add_new</t>
        </is>
      </c>
      <c r="P23" s="13" t="inlineStr">
        <is>
          <t>NEW</t>
        </is>
      </c>
    </row>
    <row r="24">
      <c r="A24" s="22" t="inlineStr">
        <is>
          <t>014</t>
        </is>
      </c>
      <c r="B24" s="22" t="inlineStr">
        <is>
          <t>2026-03-09</t>
        </is>
      </c>
      <c r="C24" s="22" t="inlineStr">
        <is>
          <t>Each</t>
        </is>
      </c>
      <c r="D24" s="23" t="inlineStr">
        <is>
          <t>DELIVERY - NO SALES TAX</t>
        </is>
      </c>
      <c r="E24" s="22" t="inlineStr"/>
      <c r="F24" s="22" t="inlineStr"/>
      <c r="G24" s="22" t="inlineStr"/>
      <c r="H24" s="24" t="n">
        <v>1</v>
      </c>
      <c r="I24" s="26" t="n">
        <v>800</v>
      </c>
      <c r="J24" s="22" t="n">
        <v>1</v>
      </c>
      <c r="K24" s="22" t="n">
        <v>0</v>
      </c>
      <c r="L24" s="22" t="n">
        <v>1</v>
      </c>
      <c r="M24" s="26" t="n">
        <v>800</v>
      </c>
      <c r="N24" s="26" t="n">
        <v>848</v>
      </c>
      <c r="O24" s="23" t="inlineStr">
        <is>
          <t>add_new</t>
        </is>
      </c>
      <c r="P24" s="23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0" customWidth="1" min="4" max="4"/>
    <col width="6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30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Length</t>
        </is>
      </c>
      <c r="H1" s="1" t="inlineStr">
        <is>
          <t>Qty Delivered</t>
        </is>
      </c>
      <c r="I1" s="1" t="inlineStr">
        <is>
          <t>Delivered LF</t>
        </is>
      </c>
      <c r="J1" s="1" t="inlineStr">
        <is>
          <t>Delivered BF/SF</t>
        </is>
      </c>
      <c r="K1" s="1" t="inlineStr">
        <is>
          <t>Delivered Cost</t>
        </is>
      </c>
      <c r="L1" s="1" t="inlineStr">
        <is>
          <t>Delivered Cost+Tax</t>
        </is>
      </c>
    </row>
    <row r="2">
      <c r="A2" s="47" t="inlineStr">
        <is>
          <t>60126001</t>
        </is>
      </c>
      <c r="B2" s="47" t="inlineStr">
        <is>
          <t>2026-11-20</t>
        </is>
      </c>
      <c r="C2" s="48" t="inlineStr">
        <is>
          <t>2 x 4 9 SYP #2 PET 104-5/8</t>
        </is>
      </c>
      <c r="D2" s="47" t="inlineStr">
        <is>
          <t>Lumber</t>
        </is>
      </c>
      <c r="E2" s="47" t="n">
        <v>2</v>
      </c>
      <c r="F2" s="47" t="n">
        <v>4</v>
      </c>
      <c r="G2" s="47" t="n">
        <v>9</v>
      </c>
      <c r="H2" s="49" t="n">
        <v>4160</v>
      </c>
      <c r="I2" s="50" t="n">
        <v>37440</v>
      </c>
      <c r="J2" s="50" t="n">
        <v>24960</v>
      </c>
      <c r="K2" s="51" t="n">
        <v>13104</v>
      </c>
      <c r="L2" s="51" t="n">
        <v>13890.24</v>
      </c>
    </row>
    <row r="3">
      <c r="A3" s="47" t="inlineStr">
        <is>
          <t>60126002</t>
        </is>
      </c>
      <c r="B3" s="47" t="inlineStr">
        <is>
          <t>2025-11-20</t>
        </is>
      </c>
      <c r="C3" s="48" t="inlineStr">
        <is>
          <t>2 x 6 12 SYP #2</t>
        </is>
      </c>
      <c r="D3" s="47" t="inlineStr">
        <is>
          <t>Lumber</t>
        </is>
      </c>
      <c r="E3" s="47" t="n">
        <v>2</v>
      </c>
      <c r="F3" s="47" t="n">
        <v>6</v>
      </c>
      <c r="G3" s="47" t="n">
        <v>12</v>
      </c>
      <c r="H3" s="49" t="n">
        <v>256</v>
      </c>
      <c r="I3" s="50" t="n">
        <v>3072</v>
      </c>
      <c r="J3" s="50" t="n">
        <v>3072</v>
      </c>
      <c r="K3" s="51" t="n">
        <v>1336.32</v>
      </c>
      <c r="L3" s="51" t="n">
        <v>1416.5</v>
      </c>
    </row>
    <row r="4">
      <c r="A4" s="47" t="inlineStr">
        <is>
          <t>60126002</t>
        </is>
      </c>
      <c r="B4" s="47" t="inlineStr">
        <is>
          <t>2025-11-20</t>
        </is>
      </c>
      <c r="C4" s="48" t="inlineStr">
        <is>
          <t>2 x 8 1 SYP #2</t>
        </is>
      </c>
      <c r="D4" s="47" t="inlineStr">
        <is>
          <t>Lumber</t>
        </is>
      </c>
      <c r="E4" s="47" t="n">
        <v>2</v>
      </c>
      <c r="F4" s="47" t="n">
        <v>8</v>
      </c>
      <c r="G4" s="47" t="n">
        <v>1</v>
      </c>
      <c r="H4" s="49" t="n">
        <v>5760</v>
      </c>
      <c r="I4" s="50" t="n">
        <v>5760</v>
      </c>
      <c r="J4" s="50" t="n">
        <v>7680</v>
      </c>
      <c r="K4" s="51" t="n">
        <v>3724.8</v>
      </c>
      <c r="L4" s="51" t="n">
        <v>3948.29</v>
      </c>
    </row>
    <row r="5">
      <c r="A5" s="47" t="inlineStr">
        <is>
          <t>60126002</t>
        </is>
      </c>
      <c r="B5" s="47" t="inlineStr">
        <is>
          <t>2025-11-20</t>
        </is>
      </c>
      <c r="C5" s="48" t="inlineStr">
        <is>
          <t>2 x 10 10 SYP #2</t>
        </is>
      </c>
      <c r="D5" s="47" t="inlineStr">
        <is>
          <t>Lumber</t>
        </is>
      </c>
      <c r="E5" s="47" t="n">
        <v>2</v>
      </c>
      <c r="F5" s="47" t="n">
        <v>10</v>
      </c>
      <c r="G5" s="47" t="n">
        <v>10</v>
      </c>
      <c r="H5" s="49" t="n">
        <v>160</v>
      </c>
      <c r="I5" s="50" t="n">
        <v>1600</v>
      </c>
      <c r="J5" s="50" t="n">
        <v>2666.6667</v>
      </c>
      <c r="K5" s="51" t="n">
        <v>1293.33</v>
      </c>
      <c r="L5" s="51" t="n">
        <v>1370.93</v>
      </c>
    </row>
    <row r="6">
      <c r="A6" s="47" t="inlineStr">
        <is>
          <t>60126002</t>
        </is>
      </c>
      <c r="B6" s="47" t="inlineStr">
        <is>
          <t>2025-11-20</t>
        </is>
      </c>
      <c r="C6" s="48" t="inlineStr">
        <is>
          <t>2 x 12 12 SYP #2</t>
        </is>
      </c>
      <c r="D6" s="47" t="inlineStr">
        <is>
          <t>Lumber</t>
        </is>
      </c>
      <c r="E6" s="47" t="n">
        <v>2</v>
      </c>
      <c r="F6" s="47" t="n">
        <v>12</v>
      </c>
      <c r="G6" s="47" t="n">
        <v>12</v>
      </c>
      <c r="H6" s="49" t="n">
        <v>64</v>
      </c>
      <c r="I6" s="50" t="n">
        <v>768</v>
      </c>
      <c r="J6" s="50" t="n">
        <v>1536</v>
      </c>
      <c r="K6" s="51" t="n">
        <v>821.76</v>
      </c>
      <c r="L6" s="51" t="n">
        <v>871.0700000000001</v>
      </c>
    </row>
    <row r="7">
      <c r="A7" s="52" t="inlineStr">
        <is>
          <t>60126003</t>
        </is>
      </c>
      <c r="B7" s="52" t="inlineStr">
        <is>
          <t>2025-11-20</t>
        </is>
      </c>
      <c r="C7" s="53" t="inlineStr">
        <is>
          <t>15/32" OSB</t>
        </is>
      </c>
      <c r="D7" s="52" t="inlineStr">
        <is>
          <t>Panels</t>
        </is>
      </c>
      <c r="E7" s="52" t="n">
        <v>4</v>
      </c>
      <c r="F7" s="52" t="n">
        <v>8</v>
      </c>
      <c r="G7" s="52" t="inlineStr"/>
      <c r="H7" s="54" t="n">
        <v>490</v>
      </c>
      <c r="I7" s="55" t="n">
        <v>0</v>
      </c>
      <c r="J7" s="55" t="n">
        <v>15680</v>
      </c>
      <c r="K7" s="56" t="n">
        <v>6193.6</v>
      </c>
      <c r="L7" s="56" t="n">
        <v>6565.22</v>
      </c>
    </row>
    <row r="8">
      <c r="A8" s="47" t="inlineStr">
        <is>
          <t>60126004</t>
        </is>
      </c>
      <c r="B8" s="47" t="inlineStr">
        <is>
          <t>2025-11-20</t>
        </is>
      </c>
      <c r="C8" s="48" t="inlineStr">
        <is>
          <t>2 x 4 1 SYP #2</t>
        </is>
      </c>
      <c r="D8" s="47" t="inlineStr">
        <is>
          <t>Lumber</t>
        </is>
      </c>
      <c r="E8" s="47" t="n">
        <v>2</v>
      </c>
      <c r="F8" s="47" t="n">
        <v>4</v>
      </c>
      <c r="G8" s="47" t="n">
        <v>1</v>
      </c>
      <c r="H8" s="49" t="n">
        <v>34944</v>
      </c>
      <c r="I8" s="50" t="n">
        <v>34944</v>
      </c>
      <c r="J8" s="50" t="n">
        <v>23296</v>
      </c>
      <c r="K8" s="51" t="n">
        <v>11997.44</v>
      </c>
      <c r="L8" s="51" t="n">
        <v>12717.29</v>
      </c>
    </row>
    <row r="9">
      <c r="A9" s="47" t="inlineStr">
        <is>
          <t>60126005</t>
        </is>
      </c>
      <c r="B9" s="47" t="inlineStr">
        <is>
          <t>2025-11-20</t>
        </is>
      </c>
      <c r="C9" s="48" t="inlineStr">
        <is>
          <t>2 x 6 12 SYP #2</t>
        </is>
      </c>
      <c r="D9" s="47" t="inlineStr">
        <is>
          <t>Lumber</t>
        </is>
      </c>
      <c r="E9" s="47" t="n">
        <v>2</v>
      </c>
      <c r="F9" s="47" t="n">
        <v>6</v>
      </c>
      <c r="G9" s="47" t="n">
        <v>12</v>
      </c>
      <c r="H9" s="49" t="n">
        <v>1920</v>
      </c>
      <c r="I9" s="50" t="n">
        <v>23040</v>
      </c>
      <c r="J9" s="50" t="n">
        <v>23040</v>
      </c>
      <c r="K9" s="51" t="n">
        <v>10022.4</v>
      </c>
      <c r="L9" s="51" t="n">
        <v>10623.74</v>
      </c>
    </row>
    <row r="10">
      <c r="A10" s="47" t="inlineStr">
        <is>
          <t>60126006</t>
        </is>
      </c>
      <c r="B10" s="47" t="inlineStr">
        <is>
          <t>2025-11-20</t>
        </is>
      </c>
      <c r="C10" s="48" t="inlineStr">
        <is>
          <t>2 x 6 9 SYP #2 PET 104-5/8</t>
        </is>
      </c>
      <c r="D10" s="47" t="inlineStr">
        <is>
          <t>Lumber</t>
        </is>
      </c>
      <c r="E10" s="47" t="n">
        <v>2</v>
      </c>
      <c r="F10" s="47" t="n">
        <v>6</v>
      </c>
      <c r="G10" s="47" t="n">
        <v>9</v>
      </c>
      <c r="H10" s="49" t="n">
        <v>2560</v>
      </c>
      <c r="I10" s="50" t="n">
        <v>23040</v>
      </c>
      <c r="J10" s="50" t="n">
        <v>23040</v>
      </c>
      <c r="K10" s="51" t="n">
        <v>12096</v>
      </c>
      <c r="L10" s="51" t="n">
        <v>12821.76</v>
      </c>
    </row>
    <row r="11">
      <c r="A11" s="57" t="inlineStr">
        <is>
          <t>60126007</t>
        </is>
      </c>
      <c r="B11" s="57" t="inlineStr">
        <is>
          <t>2025-11-20</t>
        </is>
      </c>
      <c r="C11" s="58" t="inlineStr">
        <is>
          <t>3-1/2X5-1/4 PSL/GLB</t>
        </is>
      </c>
      <c r="D11" s="57" t="inlineStr">
        <is>
          <t>LVL</t>
        </is>
      </c>
      <c r="E11" s="57" t="n">
        <v>3.5</v>
      </c>
      <c r="F11" s="57" t="n">
        <v>5.25</v>
      </c>
      <c r="G11" s="57" t="n">
        <v>9</v>
      </c>
      <c r="H11" s="59" t="n">
        <v>240</v>
      </c>
      <c r="I11" s="60" t="n">
        <v>2160</v>
      </c>
      <c r="J11" s="60" t="n">
        <v>0</v>
      </c>
      <c r="K11" s="61" t="n">
        <v>14860.8</v>
      </c>
      <c r="L11" s="61" t="n">
        <v>15752.45</v>
      </c>
    </row>
    <row r="12">
      <c r="A12" s="57" t="inlineStr">
        <is>
          <t>60126007</t>
        </is>
      </c>
      <c r="B12" s="57" t="inlineStr">
        <is>
          <t>2025-11-20</t>
        </is>
      </c>
      <c r="C12" s="58" t="inlineStr">
        <is>
          <t>3-1/2X11-7/8 PSL/GLB</t>
        </is>
      </c>
      <c r="D12" s="57" t="inlineStr">
        <is>
          <t>LVL</t>
        </is>
      </c>
      <c r="E12" s="57" t="n">
        <v>3.5</v>
      </c>
      <c r="F12" s="57" t="n">
        <v>11.875</v>
      </c>
      <c r="G12" s="57" t="n">
        <v>10</v>
      </c>
      <c r="H12" s="59" t="n">
        <v>12</v>
      </c>
      <c r="I12" s="60" t="n">
        <v>120</v>
      </c>
      <c r="J12" s="60" t="n">
        <v>0</v>
      </c>
      <c r="K12" s="61" t="n">
        <v>1560</v>
      </c>
      <c r="L12" s="61" t="n">
        <v>1653.6</v>
      </c>
    </row>
    <row r="13">
      <c r="A13" s="57" t="inlineStr">
        <is>
          <t>60126007</t>
        </is>
      </c>
      <c r="B13" s="57" t="inlineStr">
        <is>
          <t>2025-11-20</t>
        </is>
      </c>
      <c r="C13" s="58" t="inlineStr">
        <is>
          <t>3-1/2X11-7/8 PSL/GLB</t>
        </is>
      </c>
      <c r="D13" s="57" t="inlineStr">
        <is>
          <t>LVL</t>
        </is>
      </c>
      <c r="E13" s="57" t="n">
        <v>3.5</v>
      </c>
      <c r="F13" s="57" t="n">
        <v>11.875</v>
      </c>
      <c r="G13" s="57" t="n">
        <v>14</v>
      </c>
      <c r="H13" s="59" t="n">
        <v>6</v>
      </c>
      <c r="I13" s="60" t="n">
        <v>84</v>
      </c>
      <c r="J13" s="60" t="n">
        <v>0</v>
      </c>
      <c r="K13" s="61" t="n">
        <v>1092</v>
      </c>
      <c r="L13" s="61" t="n">
        <v>1157.52</v>
      </c>
    </row>
    <row r="14">
      <c r="A14" s="62" t="inlineStr">
        <is>
          <t>60126008</t>
        </is>
      </c>
      <c r="B14" s="62" t="inlineStr">
        <is>
          <t>2025-11-20</t>
        </is>
      </c>
      <c r="C14" s="63" t="inlineStr">
        <is>
          <t>SUBFLOOR ADHESIVE</t>
        </is>
      </c>
      <c r="D14" s="62" t="inlineStr">
        <is>
          <t>Each</t>
        </is>
      </c>
      <c r="E14" s="62" t="inlineStr"/>
      <c r="F14" s="62" t="inlineStr"/>
      <c r="G14" s="62" t="inlineStr"/>
      <c r="H14" s="64" t="n">
        <v>516</v>
      </c>
      <c r="I14" s="65" t="n">
        <v>0</v>
      </c>
      <c r="J14" s="65" t="n">
        <v>0</v>
      </c>
      <c r="K14" s="66" t="n">
        <v>2838</v>
      </c>
      <c r="L14" s="66" t="n">
        <v>3008.28</v>
      </c>
    </row>
    <row r="15">
      <c r="A15" s="62" t="inlineStr">
        <is>
          <t>60126008</t>
        </is>
      </c>
      <c r="B15" s="62" t="inlineStr">
        <is>
          <t>2025-11-20</t>
        </is>
      </c>
      <c r="C15" s="63" t="inlineStr">
        <is>
          <t>4" Sill Sealer</t>
        </is>
      </c>
      <c r="D15" s="62" t="inlineStr">
        <is>
          <t>Each</t>
        </is>
      </c>
      <c r="E15" s="62" t="inlineStr"/>
      <c r="F15" s="62" t="inlineStr"/>
      <c r="G15" s="62" t="inlineStr"/>
      <c r="H15" s="64" t="n">
        <v>49</v>
      </c>
      <c r="I15" s="65" t="n">
        <v>0</v>
      </c>
      <c r="J15" s="65" t="n">
        <v>0</v>
      </c>
      <c r="K15" s="66" t="n">
        <v>355.25</v>
      </c>
      <c r="L15" s="66" t="n">
        <v>376.56</v>
      </c>
    </row>
    <row r="16">
      <c r="A16" s="62" t="inlineStr">
        <is>
          <t>60126008</t>
        </is>
      </c>
      <c r="B16" s="62" t="inlineStr">
        <is>
          <t>2025-11-20</t>
        </is>
      </c>
      <c r="C16" s="63" t="inlineStr">
        <is>
          <t>6" Sill Sealer</t>
        </is>
      </c>
      <c r="D16" s="62" t="inlineStr">
        <is>
          <t>Each</t>
        </is>
      </c>
      <c r="E16" s="62" t="inlineStr"/>
      <c r="F16" s="62" t="inlineStr"/>
      <c r="G16" s="62" t="inlineStr"/>
      <c r="H16" s="64" t="n">
        <v>58</v>
      </c>
      <c r="I16" s="65" t="n">
        <v>0</v>
      </c>
      <c r="J16" s="65" t="n">
        <v>0</v>
      </c>
      <c r="K16" s="66" t="n">
        <v>420.5</v>
      </c>
      <c r="L16" s="66" t="n">
        <v>445.73</v>
      </c>
    </row>
    <row r="17">
      <c r="A17" s="62" t="inlineStr">
        <is>
          <t>60126008</t>
        </is>
      </c>
      <c r="B17" s="62" t="inlineStr">
        <is>
          <t>2025-11-20</t>
        </is>
      </c>
      <c r="C17" s="63" t="inlineStr">
        <is>
          <t>8" Sill Sealer</t>
        </is>
      </c>
      <c r="D17" s="62" t="inlineStr">
        <is>
          <t>Each</t>
        </is>
      </c>
      <c r="E17" s="62" t="inlineStr"/>
      <c r="F17" s="62" t="inlineStr"/>
      <c r="G17" s="62" t="inlineStr"/>
      <c r="H17" s="64" t="n">
        <v>16</v>
      </c>
      <c r="I17" s="65" t="n">
        <v>0</v>
      </c>
      <c r="J17" s="65" t="n">
        <v>0</v>
      </c>
      <c r="K17" s="66" t="n">
        <v>116</v>
      </c>
      <c r="L17" s="66" t="n">
        <v>122.96</v>
      </c>
    </row>
    <row r="18">
      <c r="A18" s="52" t="inlineStr">
        <is>
          <t>60126008</t>
        </is>
      </c>
      <c r="B18" s="52" t="inlineStr">
        <is>
          <t>2025-11-20</t>
        </is>
      </c>
      <c r="C18" s="53" t="inlineStr">
        <is>
          <t>23/32" OSB T&amp;G - PT</t>
        </is>
      </c>
      <c r="D18" s="52" t="inlineStr">
        <is>
          <t>Panels</t>
        </is>
      </c>
      <c r="E18" s="52" t="n">
        <v>4</v>
      </c>
      <c r="F18" s="52" t="n">
        <v>8</v>
      </c>
      <c r="G18" s="52" t="inlineStr"/>
      <c r="H18" s="54" t="n">
        <v>48</v>
      </c>
      <c r="I18" s="55" t="n">
        <v>0</v>
      </c>
      <c r="J18" s="55" t="n">
        <v>1536</v>
      </c>
      <c r="K18" s="56" t="n">
        <v>1973.76</v>
      </c>
      <c r="L18" s="56" t="n">
        <v>2092.19</v>
      </c>
    </row>
    <row r="19">
      <c r="A19" s="52" t="inlineStr">
        <is>
          <t>60126009</t>
        </is>
      </c>
      <c r="B19" s="52" t="inlineStr">
        <is>
          <t>2025-11-20</t>
        </is>
      </c>
      <c r="C19" s="53" t="inlineStr">
        <is>
          <t>23/32" 4X8 OSB T&amp;G ADVANTECH (CO#002)</t>
        </is>
      </c>
      <c r="D19" s="52" t="inlineStr">
        <is>
          <t>Panels</t>
        </is>
      </c>
      <c r="E19" s="52" t="n">
        <v>4</v>
      </c>
      <c r="F19" s="52" t="n">
        <v>8</v>
      </c>
      <c r="G19" s="52" t="inlineStr"/>
      <c r="H19" s="54" t="n">
        <v>585</v>
      </c>
      <c r="I19" s="55" t="n">
        <v>0</v>
      </c>
      <c r="J19" s="55" t="n">
        <v>18720</v>
      </c>
      <c r="K19" s="56" t="n">
        <v>19000.8</v>
      </c>
      <c r="L19" s="56" t="n">
        <v>20140.85</v>
      </c>
    </row>
    <row r="20">
      <c r="A20" s="52" t="inlineStr">
        <is>
          <t>60126010</t>
        </is>
      </c>
      <c r="B20" s="52" t="inlineStr">
        <is>
          <t>2025-11-20</t>
        </is>
      </c>
      <c r="C20" s="53" t="inlineStr">
        <is>
          <t>1/2" ZIP</t>
        </is>
      </c>
      <c r="D20" s="52" t="inlineStr">
        <is>
          <t>Panels</t>
        </is>
      </c>
      <c r="E20" s="52" t="n">
        <v>4</v>
      </c>
      <c r="F20" s="52" t="n">
        <v>8</v>
      </c>
      <c r="G20" s="52" t="inlineStr"/>
      <c r="H20" s="54" t="n">
        <v>1050</v>
      </c>
      <c r="I20" s="55" t="n">
        <v>0</v>
      </c>
      <c r="J20" s="55" t="n">
        <v>33600</v>
      </c>
      <c r="K20" s="56" t="n">
        <v>22008</v>
      </c>
      <c r="L20" s="56" t="n">
        <v>23328.48</v>
      </c>
    </row>
    <row r="21">
      <c r="A21" s="52" t="inlineStr">
        <is>
          <t>60126011</t>
        </is>
      </c>
      <c r="B21" s="52" t="inlineStr">
        <is>
          <t>2025-11-26</t>
        </is>
      </c>
      <c r="C21" s="53" t="inlineStr">
        <is>
          <t>23/32" 4X8 OSB T&amp;G ADVANTECH (CO#002)</t>
        </is>
      </c>
      <c r="D21" s="52" t="inlineStr">
        <is>
          <t>Panels</t>
        </is>
      </c>
      <c r="E21" s="52" t="n">
        <v>4</v>
      </c>
      <c r="F21" s="52" t="n">
        <v>8</v>
      </c>
      <c r="G21" s="52" t="inlineStr"/>
      <c r="H21" s="54" t="n">
        <v>585</v>
      </c>
      <c r="I21" s="55" t="n">
        <v>0</v>
      </c>
      <c r="J21" s="55" t="n">
        <v>18720</v>
      </c>
      <c r="K21" s="56" t="n">
        <v>19000.8</v>
      </c>
      <c r="L21" s="56" t="n">
        <v>20140.85</v>
      </c>
    </row>
    <row r="22">
      <c r="A22" s="47" t="inlineStr">
        <is>
          <t>60126012</t>
        </is>
      </c>
      <c r="B22" s="47" t="inlineStr">
        <is>
          <t>2025-11-20</t>
        </is>
      </c>
      <c r="C22" s="48" t="inlineStr">
        <is>
          <t>6 x 6 10 PT</t>
        </is>
      </c>
      <c r="D22" s="47" t="inlineStr">
        <is>
          <t>Lumber</t>
        </is>
      </c>
      <c r="E22" s="47" t="n">
        <v>6</v>
      </c>
      <c r="F22" s="47" t="n">
        <v>6</v>
      </c>
      <c r="G22" s="47" t="n">
        <v>10</v>
      </c>
      <c r="H22" s="49" t="n">
        <v>12</v>
      </c>
      <c r="I22" s="50" t="n">
        <v>120</v>
      </c>
      <c r="J22" s="50" t="n">
        <v>360</v>
      </c>
      <c r="K22" s="51" t="n">
        <v>412.2</v>
      </c>
      <c r="L22" s="51" t="n">
        <v>436.93</v>
      </c>
    </row>
    <row r="23">
      <c r="A23" s="47" t="inlineStr">
        <is>
          <t>60126012</t>
        </is>
      </c>
      <c r="B23" s="47" t="inlineStr">
        <is>
          <t>2025-11-20</t>
        </is>
      </c>
      <c r="C23" s="48" t="inlineStr">
        <is>
          <t>2 x 4 1 PT</t>
        </is>
      </c>
      <c r="D23" s="47" t="inlineStr">
        <is>
          <t>Lumber</t>
        </is>
      </c>
      <c r="E23" s="47" t="n">
        <v>2</v>
      </c>
      <c r="F23" s="47" t="n">
        <v>4</v>
      </c>
      <c r="G23" s="47" t="n">
        <v>1</v>
      </c>
      <c r="H23" s="49" t="n">
        <v>2496</v>
      </c>
      <c r="I23" s="50" t="n">
        <v>2496</v>
      </c>
      <c r="J23" s="50" t="n">
        <v>1664</v>
      </c>
      <c r="K23" s="51" t="n">
        <v>1306.24</v>
      </c>
      <c r="L23" s="51" t="n">
        <v>1384.61</v>
      </c>
    </row>
    <row r="24">
      <c r="A24" s="47" t="inlineStr">
        <is>
          <t>60126012</t>
        </is>
      </c>
      <c r="B24" s="47" t="inlineStr">
        <is>
          <t>2025-11-20</t>
        </is>
      </c>
      <c r="C24" s="48" t="inlineStr">
        <is>
          <t>2 x 6 1 PT</t>
        </is>
      </c>
      <c r="D24" s="47" t="inlineStr">
        <is>
          <t>Lumber</t>
        </is>
      </c>
      <c r="E24" s="47" t="n">
        <v>2</v>
      </c>
      <c r="F24" s="47" t="n">
        <v>6</v>
      </c>
      <c r="G24" s="47" t="n">
        <v>1</v>
      </c>
      <c r="H24" s="49" t="n">
        <v>1536</v>
      </c>
      <c r="I24" s="50" t="n">
        <v>1536</v>
      </c>
      <c r="J24" s="50" t="n">
        <v>1536</v>
      </c>
      <c r="K24" s="51" t="n">
        <v>1205.76</v>
      </c>
      <c r="L24" s="51" t="n">
        <v>1278.11</v>
      </c>
    </row>
    <row r="25">
      <c r="A25" s="47" t="inlineStr">
        <is>
          <t>60126012</t>
        </is>
      </c>
      <c r="B25" s="47" t="inlineStr">
        <is>
          <t>2025-11-20</t>
        </is>
      </c>
      <c r="C25" s="48" t="inlineStr">
        <is>
          <t>2 x 8 9 SYP #2 PET 104-5/8</t>
        </is>
      </c>
      <c r="D25" s="47" t="inlineStr">
        <is>
          <t>Lumber</t>
        </is>
      </c>
      <c r="E25" s="47" t="n">
        <v>2</v>
      </c>
      <c r="F25" s="47" t="n">
        <v>8</v>
      </c>
      <c r="G25" s="47" t="n">
        <v>9</v>
      </c>
      <c r="H25" s="49" t="n">
        <v>480</v>
      </c>
      <c r="I25" s="50" t="n">
        <v>4320</v>
      </c>
      <c r="J25" s="50" t="n">
        <v>5760</v>
      </c>
      <c r="K25" s="51" t="n">
        <v>2793.6</v>
      </c>
      <c r="L25" s="51" t="n">
        <v>2961.22</v>
      </c>
    </row>
    <row r="26">
      <c r="A26" s="52" t="inlineStr">
        <is>
          <t>60126013</t>
        </is>
      </c>
      <c r="B26" s="52" t="inlineStr">
        <is>
          <t>2025-11-20</t>
        </is>
      </c>
      <c r="C26" s="53" t="inlineStr">
        <is>
          <t>15/32" OSB</t>
        </is>
      </c>
      <c r="D26" s="52" t="inlineStr">
        <is>
          <t>Panels</t>
        </is>
      </c>
      <c r="E26" s="52" t="n">
        <v>4</v>
      </c>
      <c r="F26" s="52" t="n">
        <v>8</v>
      </c>
      <c r="G26" s="52" t="inlineStr"/>
      <c r="H26" s="54" t="n">
        <v>470</v>
      </c>
      <c r="I26" s="55" t="n">
        <v>0</v>
      </c>
      <c r="J26" s="55" t="n">
        <v>15040</v>
      </c>
      <c r="K26" s="56" t="n">
        <v>5940.8</v>
      </c>
      <c r="L26" s="56" t="n">
        <v>6297.25</v>
      </c>
    </row>
    <row r="27">
      <c r="A27" s="47" t="inlineStr">
        <is>
          <t>60126014</t>
        </is>
      </c>
      <c r="B27" s="47" t="inlineStr">
        <is>
          <t>2025-11-20</t>
        </is>
      </c>
      <c r="C27" s="48" t="inlineStr">
        <is>
          <t>6 x 6 10 PT</t>
        </is>
      </c>
      <c r="D27" s="47" t="inlineStr">
        <is>
          <t>Lumber</t>
        </is>
      </c>
      <c r="E27" s="47" t="n">
        <v>6</v>
      </c>
      <c r="F27" s="47" t="n">
        <v>6</v>
      </c>
      <c r="G27" s="47" t="n">
        <v>10</v>
      </c>
      <c r="H27" s="49" t="n">
        <v>12</v>
      </c>
      <c r="I27" s="50" t="n">
        <v>120</v>
      </c>
      <c r="J27" s="50" t="n">
        <v>360</v>
      </c>
      <c r="K27" s="51" t="n">
        <v>412.2</v>
      </c>
      <c r="L27" s="51" t="n">
        <v>436.93</v>
      </c>
    </row>
    <row r="28">
      <c r="A28" s="47" t="inlineStr">
        <is>
          <t>60126014</t>
        </is>
      </c>
      <c r="B28" s="47" t="inlineStr">
        <is>
          <t>2025-11-20</t>
        </is>
      </c>
      <c r="C28" s="48" t="inlineStr">
        <is>
          <t>2 x 4 1 PT</t>
        </is>
      </c>
      <c r="D28" s="47" t="inlineStr">
        <is>
          <t>Lumber</t>
        </is>
      </c>
      <c r="E28" s="47" t="n">
        <v>2</v>
      </c>
      <c r="F28" s="47" t="n">
        <v>4</v>
      </c>
      <c r="G28" s="47" t="n">
        <v>1</v>
      </c>
      <c r="H28" s="49" t="n">
        <v>2496</v>
      </c>
      <c r="I28" s="50" t="n">
        <v>2496</v>
      </c>
      <c r="J28" s="50" t="n">
        <v>1664</v>
      </c>
      <c r="K28" s="51" t="n">
        <v>1306.24</v>
      </c>
      <c r="L28" s="51" t="n">
        <v>1384.61</v>
      </c>
    </row>
    <row r="29">
      <c r="A29" s="47" t="inlineStr">
        <is>
          <t>60126014</t>
        </is>
      </c>
      <c r="B29" s="47" t="inlineStr">
        <is>
          <t>2025-11-20</t>
        </is>
      </c>
      <c r="C29" s="48" t="inlineStr">
        <is>
          <t>2 x 6 1 PT</t>
        </is>
      </c>
      <c r="D29" s="47" t="inlineStr">
        <is>
          <t>Lumber</t>
        </is>
      </c>
      <c r="E29" s="47" t="n">
        <v>2</v>
      </c>
      <c r="F29" s="47" t="n">
        <v>6</v>
      </c>
      <c r="G29" s="47" t="n">
        <v>1</v>
      </c>
      <c r="H29" s="49" t="n">
        <v>1536</v>
      </c>
      <c r="I29" s="50" t="n">
        <v>1536</v>
      </c>
      <c r="J29" s="50" t="n">
        <v>1536</v>
      </c>
      <c r="K29" s="51" t="n">
        <v>1205.76</v>
      </c>
      <c r="L29" s="51" t="n">
        <v>1278.11</v>
      </c>
    </row>
    <row r="30">
      <c r="A30" s="47" t="inlineStr">
        <is>
          <t>60126014</t>
        </is>
      </c>
      <c r="B30" s="47" t="inlineStr">
        <is>
          <t>2025-11-20</t>
        </is>
      </c>
      <c r="C30" s="48" t="inlineStr">
        <is>
          <t>2 x 8 9 SYP #2 PET 104-5/8</t>
        </is>
      </c>
      <c r="D30" s="47" t="inlineStr">
        <is>
          <t>Lumber</t>
        </is>
      </c>
      <c r="E30" s="47" t="n">
        <v>2</v>
      </c>
      <c r="F30" s="47" t="n">
        <v>8</v>
      </c>
      <c r="G30" s="47" t="n">
        <v>9</v>
      </c>
      <c r="H30" s="49" t="n">
        <v>480</v>
      </c>
      <c r="I30" s="50" t="n">
        <v>4320</v>
      </c>
      <c r="J30" s="50" t="n">
        <v>5760</v>
      </c>
      <c r="K30" s="51" t="n">
        <v>2793.6</v>
      </c>
      <c r="L30" s="51" t="n">
        <v>2961.22</v>
      </c>
    </row>
    <row r="31">
      <c r="A31" s="57" t="inlineStr">
        <is>
          <t>60126015</t>
        </is>
      </c>
      <c r="B31" s="57" t="inlineStr">
        <is>
          <t>2025-11-26</t>
        </is>
      </c>
      <c r="C31" s="58" t="inlineStr">
        <is>
          <t>3-1/2X5-1/4 PSL/GLB</t>
        </is>
      </c>
      <c r="D31" s="57" t="inlineStr">
        <is>
          <t>LVL</t>
        </is>
      </c>
      <c r="E31" s="57" t="n">
        <v>3.5</v>
      </c>
      <c r="F31" s="57" t="n">
        <v>5.25</v>
      </c>
      <c r="G31" s="57" t="n">
        <v>9</v>
      </c>
      <c r="H31" s="59" t="n">
        <v>240</v>
      </c>
      <c r="I31" s="60" t="n">
        <v>2160</v>
      </c>
      <c r="J31" s="60" t="n">
        <v>0</v>
      </c>
      <c r="K31" s="61" t="n">
        <v>14860.8</v>
      </c>
      <c r="L31" s="61" t="n">
        <v>15752.45</v>
      </c>
    </row>
    <row r="32">
      <c r="A32" s="57" t="inlineStr">
        <is>
          <t>60126015</t>
        </is>
      </c>
      <c r="B32" s="57" t="inlineStr">
        <is>
          <t>2025-11-26</t>
        </is>
      </c>
      <c r="C32" s="58" t="inlineStr">
        <is>
          <t>3-1/2X5-1/4 PSL/GLB</t>
        </is>
      </c>
      <c r="D32" s="57" t="inlineStr">
        <is>
          <t>LVL</t>
        </is>
      </c>
      <c r="E32" s="57" t="n">
        <v>3.5</v>
      </c>
      <c r="F32" s="57" t="n">
        <v>5.25</v>
      </c>
      <c r="G32" s="57" t="n">
        <v>12</v>
      </c>
      <c r="H32" s="59" t="n">
        <v>15</v>
      </c>
      <c r="I32" s="60" t="n">
        <v>180</v>
      </c>
      <c r="J32" s="60" t="n">
        <v>0</v>
      </c>
      <c r="K32" s="61" t="n">
        <v>1238.4</v>
      </c>
      <c r="L32" s="61" t="n">
        <v>1312.7</v>
      </c>
    </row>
    <row r="33">
      <c r="A33" s="57" t="inlineStr">
        <is>
          <t>60126015</t>
        </is>
      </c>
      <c r="B33" s="57" t="inlineStr">
        <is>
          <t>2025-11-26</t>
        </is>
      </c>
      <c r="C33" s="58" t="inlineStr">
        <is>
          <t>3-1/2X11-7/8 PSL/GLB</t>
        </is>
      </c>
      <c r="D33" s="57" t="inlineStr">
        <is>
          <t>LVL</t>
        </is>
      </c>
      <c r="E33" s="57" t="n">
        <v>3.5</v>
      </c>
      <c r="F33" s="57" t="n">
        <v>11.875</v>
      </c>
      <c r="G33" s="57" t="n">
        <v>10</v>
      </c>
      <c r="H33" s="59" t="n">
        <v>12</v>
      </c>
      <c r="I33" s="60" t="n">
        <v>120</v>
      </c>
      <c r="J33" s="60" t="n">
        <v>0</v>
      </c>
      <c r="K33" s="61" t="n">
        <v>1560</v>
      </c>
      <c r="L33" s="61" t="n">
        <v>1653.6</v>
      </c>
    </row>
    <row r="34">
      <c r="A34" s="57" t="inlineStr">
        <is>
          <t>60126015</t>
        </is>
      </c>
      <c r="B34" s="57" t="inlineStr">
        <is>
          <t>2025-11-26</t>
        </is>
      </c>
      <c r="C34" s="58" t="inlineStr">
        <is>
          <t>3-1/2X11-7/8 PSL/GLB</t>
        </is>
      </c>
      <c r="D34" s="57" t="inlineStr">
        <is>
          <t>LVL</t>
        </is>
      </c>
      <c r="E34" s="57" t="n">
        <v>3.5</v>
      </c>
      <c r="F34" s="57" t="n">
        <v>11.875</v>
      </c>
      <c r="G34" s="57" t="n">
        <v>14</v>
      </c>
      <c r="H34" s="59" t="n">
        <v>11</v>
      </c>
      <c r="I34" s="60" t="n">
        <v>154</v>
      </c>
      <c r="J34" s="60" t="n">
        <v>0</v>
      </c>
      <c r="K34" s="61" t="n">
        <v>2002</v>
      </c>
      <c r="L34" s="61" t="n">
        <v>2122.12</v>
      </c>
    </row>
    <row r="35">
      <c r="A35" s="57" t="inlineStr">
        <is>
          <t>60126015</t>
        </is>
      </c>
      <c r="B35" s="57" t="inlineStr">
        <is>
          <t>2025-11-26</t>
        </is>
      </c>
      <c r="C35" s="58" t="inlineStr">
        <is>
          <t>3-1/2X14 PSL/GLB</t>
        </is>
      </c>
      <c r="D35" s="57" t="inlineStr">
        <is>
          <t>LVL</t>
        </is>
      </c>
      <c r="E35" s="57" t="n">
        <v>3.5</v>
      </c>
      <c r="F35" s="57" t="n">
        <v>14</v>
      </c>
      <c r="G35" s="57" t="n">
        <v>14</v>
      </c>
      <c r="H35" s="59" t="n">
        <v>1</v>
      </c>
      <c r="I35" s="60" t="n">
        <v>14</v>
      </c>
      <c r="J35" s="60" t="n">
        <v>0</v>
      </c>
      <c r="K35" s="61" t="n">
        <v>216.86</v>
      </c>
      <c r="L35" s="61" t="n">
        <v>229.87</v>
      </c>
    </row>
    <row r="36">
      <c r="A36" s="47" t="inlineStr">
        <is>
          <t>60126016</t>
        </is>
      </c>
      <c r="B36" s="47" t="inlineStr">
        <is>
          <t>2025-11-20</t>
        </is>
      </c>
      <c r="C36" s="48" t="inlineStr">
        <is>
          <t>2 x 4 9 SYP #2 PET 104-5/8</t>
        </is>
      </c>
      <c r="D36" s="47" t="inlineStr">
        <is>
          <t>Lumber</t>
        </is>
      </c>
      <c r="E36" s="47" t="n">
        <v>2</v>
      </c>
      <c r="F36" s="47" t="n">
        <v>4</v>
      </c>
      <c r="G36" s="47" t="n">
        <v>9</v>
      </c>
      <c r="H36" s="49" t="n">
        <v>4160</v>
      </c>
      <c r="I36" s="50" t="n">
        <v>37440</v>
      </c>
      <c r="J36" s="50" t="n">
        <v>24960</v>
      </c>
      <c r="K36" s="51" t="n">
        <v>13104</v>
      </c>
      <c r="L36" s="51" t="n">
        <v>13890.24</v>
      </c>
    </row>
    <row r="37">
      <c r="A37" s="47" t="inlineStr">
        <is>
          <t>60126017</t>
        </is>
      </c>
      <c r="B37" s="47" t="inlineStr">
        <is>
          <t>2025-11-21</t>
        </is>
      </c>
      <c r="C37" s="48" t="inlineStr">
        <is>
          <t>2 x 6 9 SYP #2 PET 104-5/8</t>
        </is>
      </c>
      <c r="D37" s="47" t="inlineStr">
        <is>
          <t>Lumber</t>
        </is>
      </c>
      <c r="E37" s="47" t="n">
        <v>2</v>
      </c>
      <c r="F37" s="47" t="n">
        <v>6</v>
      </c>
      <c r="G37" s="47" t="n">
        <v>9</v>
      </c>
      <c r="H37" s="49" t="n">
        <v>2560</v>
      </c>
      <c r="I37" s="50" t="n">
        <v>23040</v>
      </c>
      <c r="J37" s="50" t="n">
        <v>23040</v>
      </c>
      <c r="K37" s="51" t="n">
        <v>12096</v>
      </c>
      <c r="L37" s="51" t="n">
        <v>12821.76</v>
      </c>
    </row>
    <row r="38">
      <c r="A38" s="47" t="inlineStr">
        <is>
          <t>60126018</t>
        </is>
      </c>
      <c r="B38" s="47" t="inlineStr">
        <is>
          <t>2025-11-26</t>
        </is>
      </c>
      <c r="C38" s="48" t="inlineStr">
        <is>
          <t>2 x 6 12 SYP #2</t>
        </is>
      </c>
      <c r="D38" s="47" t="inlineStr">
        <is>
          <t>Lumber</t>
        </is>
      </c>
      <c r="E38" s="47" t="n">
        <v>2</v>
      </c>
      <c r="F38" s="47" t="n">
        <v>6</v>
      </c>
      <c r="G38" s="47" t="n">
        <v>12</v>
      </c>
      <c r="H38" s="49" t="n">
        <v>1792</v>
      </c>
      <c r="I38" s="50" t="n">
        <v>21504</v>
      </c>
      <c r="J38" s="50" t="n">
        <v>21504</v>
      </c>
      <c r="K38" s="51" t="n">
        <v>9354.24</v>
      </c>
      <c r="L38" s="51" t="n">
        <v>9915.49</v>
      </c>
    </row>
    <row r="39">
      <c r="A39" s="47" t="inlineStr">
        <is>
          <t>60126019</t>
        </is>
      </c>
      <c r="B39" s="47" t="inlineStr">
        <is>
          <t>2025-11-26</t>
        </is>
      </c>
      <c r="C39" s="48" t="inlineStr">
        <is>
          <t>2 x 4 12 SYP #2</t>
        </is>
      </c>
      <c r="D39" s="47" t="inlineStr">
        <is>
          <t>Lumber</t>
        </is>
      </c>
      <c r="E39" s="47" t="n">
        <v>2</v>
      </c>
      <c r="F39" s="47" t="n">
        <v>4</v>
      </c>
      <c r="G39" s="47" t="n">
        <v>12</v>
      </c>
      <c r="H39" s="49" t="n">
        <v>3120</v>
      </c>
      <c r="I39" s="50" t="n">
        <v>37440</v>
      </c>
      <c r="J39" s="50" t="n">
        <v>24960</v>
      </c>
      <c r="K39" s="51" t="n">
        <v>12854.4</v>
      </c>
      <c r="L39" s="51" t="n">
        <v>13625.66</v>
      </c>
    </row>
    <row r="40">
      <c r="A40" s="47" t="inlineStr">
        <is>
          <t>60126020</t>
        </is>
      </c>
      <c r="B40" s="47" t="inlineStr">
        <is>
          <t>2025-11-20</t>
        </is>
      </c>
      <c r="C40" s="48" t="inlineStr">
        <is>
          <t>2 x 8 1 PT</t>
        </is>
      </c>
      <c r="D40" s="47" t="inlineStr">
        <is>
          <t>Lumber</t>
        </is>
      </c>
      <c r="E40" s="47" t="n">
        <v>2</v>
      </c>
      <c r="F40" s="47" t="n">
        <v>8</v>
      </c>
      <c r="G40" s="47" t="n">
        <v>1</v>
      </c>
      <c r="H40" s="49" t="n">
        <v>384</v>
      </c>
      <c r="I40" s="50" t="n">
        <v>384</v>
      </c>
      <c r="J40" s="50" t="n">
        <v>512</v>
      </c>
      <c r="K40" s="51" t="n">
        <v>417.28</v>
      </c>
      <c r="L40" s="51" t="n">
        <v>442.32</v>
      </c>
    </row>
    <row r="41">
      <c r="A41" s="47" t="inlineStr">
        <is>
          <t>60126021</t>
        </is>
      </c>
      <c r="B41" s="47" t="inlineStr">
        <is>
          <t>2025-11-20</t>
        </is>
      </c>
      <c r="C41" s="48" t="inlineStr">
        <is>
          <t>2 x 4 1 PT</t>
        </is>
      </c>
      <c r="D41" s="47" t="inlineStr">
        <is>
          <t>Lumber</t>
        </is>
      </c>
      <c r="E41" s="47" t="n">
        <v>2</v>
      </c>
      <c r="F41" s="47" t="n">
        <v>4</v>
      </c>
      <c r="G41" s="47" t="n">
        <v>1</v>
      </c>
      <c r="H41" s="49" t="n">
        <v>2496</v>
      </c>
      <c r="I41" s="50" t="n">
        <v>2496</v>
      </c>
      <c r="J41" s="50" t="n">
        <v>1664</v>
      </c>
      <c r="K41" s="51" t="n">
        <v>1306.24</v>
      </c>
      <c r="L41" s="51" t="n">
        <v>1384.61</v>
      </c>
    </row>
    <row r="42">
      <c r="A42" s="47" t="inlineStr">
        <is>
          <t>60126021</t>
        </is>
      </c>
      <c r="B42" s="47" t="inlineStr">
        <is>
          <t>2025-11-20</t>
        </is>
      </c>
      <c r="C42" s="48" t="inlineStr">
        <is>
          <t>2 x 6 1 PT</t>
        </is>
      </c>
      <c r="D42" s="47" t="inlineStr">
        <is>
          <t>Lumber</t>
        </is>
      </c>
      <c r="E42" s="47" t="n">
        <v>2</v>
      </c>
      <c r="F42" s="47" t="n">
        <v>6</v>
      </c>
      <c r="G42" s="47" t="n">
        <v>1</v>
      </c>
      <c r="H42" s="49" t="n">
        <v>1536</v>
      </c>
      <c r="I42" s="50" t="n">
        <v>1536</v>
      </c>
      <c r="J42" s="50" t="n">
        <v>1536</v>
      </c>
      <c r="K42" s="51" t="n">
        <v>1205.76</v>
      </c>
      <c r="L42" s="51" t="n">
        <v>1278.11</v>
      </c>
    </row>
    <row r="43">
      <c r="A43" s="47" t="inlineStr">
        <is>
          <t>60126022</t>
        </is>
      </c>
      <c r="B43" s="47" t="inlineStr">
        <is>
          <t>2025-11-20</t>
        </is>
      </c>
      <c r="C43" s="48" t="inlineStr">
        <is>
          <t>2 x 8 1 SYP #2</t>
        </is>
      </c>
      <c r="D43" s="47" t="inlineStr">
        <is>
          <t>Lumber</t>
        </is>
      </c>
      <c r="E43" s="47" t="n">
        <v>2</v>
      </c>
      <c r="F43" s="47" t="n">
        <v>8</v>
      </c>
      <c r="G43" s="47" t="n">
        <v>1</v>
      </c>
      <c r="H43" s="49" t="n">
        <v>3456</v>
      </c>
      <c r="I43" s="50" t="n">
        <v>3456</v>
      </c>
      <c r="J43" s="50" t="n">
        <v>4608</v>
      </c>
      <c r="K43" s="51" t="n">
        <v>2234.88</v>
      </c>
      <c r="L43" s="51" t="n">
        <v>2368.97</v>
      </c>
    </row>
    <row r="44">
      <c r="A44" s="47" t="inlineStr">
        <is>
          <t>60126022</t>
        </is>
      </c>
      <c r="B44" s="47" t="inlineStr">
        <is>
          <t>2025-11-20</t>
        </is>
      </c>
      <c r="C44" s="48" t="inlineStr">
        <is>
          <t>2 x 10 1 SYP #2</t>
        </is>
      </c>
      <c r="D44" s="47" t="inlineStr">
        <is>
          <t>Lumber</t>
        </is>
      </c>
      <c r="E44" s="47" t="n">
        <v>2</v>
      </c>
      <c r="F44" s="47" t="n">
        <v>10</v>
      </c>
      <c r="G44" s="47" t="n">
        <v>1</v>
      </c>
      <c r="H44" s="49" t="n">
        <v>3840</v>
      </c>
      <c r="I44" s="50" t="n">
        <v>3840</v>
      </c>
      <c r="J44" s="50" t="n">
        <v>6400</v>
      </c>
      <c r="K44" s="51" t="n">
        <v>3104</v>
      </c>
      <c r="L44" s="51" t="n">
        <v>3290.24</v>
      </c>
    </row>
    <row r="45">
      <c r="A45" s="47" t="inlineStr">
        <is>
          <t>60126022</t>
        </is>
      </c>
      <c r="B45" s="47" t="inlineStr">
        <is>
          <t>2025-11-20</t>
        </is>
      </c>
      <c r="C45" s="48" t="inlineStr">
        <is>
          <t>2 x 12 1 SYP #2</t>
        </is>
      </c>
      <c r="D45" s="47" t="inlineStr">
        <is>
          <t>Lumber</t>
        </is>
      </c>
      <c r="E45" s="47" t="n">
        <v>2</v>
      </c>
      <c r="F45" s="47" t="n">
        <v>12</v>
      </c>
      <c r="G45" s="47" t="n">
        <v>1</v>
      </c>
      <c r="H45" s="49" t="n">
        <v>768</v>
      </c>
      <c r="I45" s="50" t="n">
        <v>768</v>
      </c>
      <c r="J45" s="50" t="n">
        <v>1536</v>
      </c>
      <c r="K45" s="51" t="n">
        <v>821.76</v>
      </c>
      <c r="L45" s="51" t="n">
        <v>871.0700000000001</v>
      </c>
    </row>
    <row r="46">
      <c r="A46" s="52" t="inlineStr">
        <is>
          <t>60126023</t>
        </is>
      </c>
      <c r="B46" s="52" t="inlineStr">
        <is>
          <t>2025-11-26</t>
        </is>
      </c>
      <c r="C46" s="53" t="inlineStr">
        <is>
          <t>19/32" 4X8 PLYWOOD (CO#001)</t>
        </is>
      </c>
      <c r="D46" s="52" t="inlineStr">
        <is>
          <t>Panels</t>
        </is>
      </c>
      <c r="E46" s="52" t="n">
        <v>4</v>
      </c>
      <c r="F46" s="52" t="n">
        <v>8</v>
      </c>
      <c r="G46" s="52" t="inlineStr"/>
      <c r="H46" s="54" t="n">
        <v>87</v>
      </c>
      <c r="I46" s="55" t="n">
        <v>0</v>
      </c>
      <c r="J46" s="55" t="n">
        <v>2784</v>
      </c>
      <c r="K46" s="56" t="n">
        <v>2380.32</v>
      </c>
      <c r="L46" s="56" t="n">
        <v>2523.14</v>
      </c>
    </row>
    <row r="47">
      <c r="A47" s="52" t="inlineStr">
        <is>
          <t>60126023</t>
        </is>
      </c>
      <c r="B47" s="52" t="inlineStr">
        <is>
          <t>2025-11-26</t>
        </is>
      </c>
      <c r="C47" s="53" t="inlineStr">
        <is>
          <t>15/32" 4X8 PLYWOOD PT (CO#001)</t>
        </is>
      </c>
      <c r="D47" s="52" t="inlineStr">
        <is>
          <t>Panels</t>
        </is>
      </c>
      <c r="E47" s="52" t="n">
        <v>4</v>
      </c>
      <c r="F47" s="52" t="n">
        <v>8</v>
      </c>
      <c r="G47" s="52" t="inlineStr"/>
      <c r="H47" s="54" t="n">
        <v>360</v>
      </c>
      <c r="I47" s="55" t="n">
        <v>0</v>
      </c>
      <c r="J47" s="55" t="n">
        <v>11520</v>
      </c>
      <c r="K47" s="56" t="n">
        <v>12153.6</v>
      </c>
      <c r="L47" s="56" t="n">
        <v>12882.82</v>
      </c>
    </row>
    <row r="48">
      <c r="A48" s="52" t="inlineStr">
        <is>
          <t>60126024</t>
        </is>
      </c>
      <c r="B48" s="52" t="inlineStr">
        <is>
          <t>2025-12-10</t>
        </is>
      </c>
      <c r="C48" s="53" t="inlineStr">
        <is>
          <t>19/32" 4X8 PLYWOOD (CO#001)</t>
        </is>
      </c>
      <c r="D48" s="52" t="inlineStr">
        <is>
          <t>Panels</t>
        </is>
      </c>
      <c r="E48" s="52" t="n">
        <v>4</v>
      </c>
      <c r="F48" s="52" t="n">
        <v>8</v>
      </c>
      <c r="G48" s="52" t="inlineStr"/>
      <c r="H48" s="54" t="n">
        <v>754</v>
      </c>
      <c r="I48" s="55" t="n">
        <v>0</v>
      </c>
      <c r="J48" s="55" t="n">
        <v>24128</v>
      </c>
      <c r="K48" s="56" t="n">
        <v>20629.44</v>
      </c>
      <c r="L48" s="56" t="n">
        <v>21867.21</v>
      </c>
    </row>
    <row r="49">
      <c r="A49" s="47" t="inlineStr">
        <is>
          <t>60126025</t>
        </is>
      </c>
      <c r="B49" s="47" t="inlineStr">
        <is>
          <t>2025-11-25</t>
        </is>
      </c>
      <c r="C49" s="48" t="inlineStr">
        <is>
          <t>2 x 6 9 SYP #2 PET 104-5/8</t>
        </is>
      </c>
      <c r="D49" s="47" t="inlineStr">
        <is>
          <t>Lumber</t>
        </is>
      </c>
      <c r="E49" s="47" t="n">
        <v>2</v>
      </c>
      <c r="F49" s="47" t="n">
        <v>6</v>
      </c>
      <c r="G49" s="47" t="n">
        <v>9</v>
      </c>
      <c r="H49" s="49" t="n">
        <v>2560</v>
      </c>
      <c r="I49" s="50" t="n">
        <v>23040</v>
      </c>
      <c r="J49" s="50" t="n">
        <v>23040</v>
      </c>
      <c r="K49" s="51" t="n">
        <v>12096</v>
      </c>
      <c r="L49" s="51" t="n">
        <v>12821.76</v>
      </c>
    </row>
    <row r="50">
      <c r="A50" s="57" t="inlineStr">
        <is>
          <t>60126026</t>
        </is>
      </c>
      <c r="B50" s="57" t="inlineStr">
        <is>
          <t>2025-11-25</t>
        </is>
      </c>
      <c r="C50" s="58" t="inlineStr">
        <is>
          <t>3-1/2X5-1/4 PSL/GLB</t>
        </is>
      </c>
      <c r="D50" s="57" t="inlineStr">
        <is>
          <t>LVL</t>
        </is>
      </c>
      <c r="E50" s="57" t="n">
        <v>3.5</v>
      </c>
      <c r="F50" s="57" t="n">
        <v>5.25</v>
      </c>
      <c r="G50" s="57" t="n">
        <v>9</v>
      </c>
      <c r="H50" s="59" t="n">
        <v>15</v>
      </c>
      <c r="I50" s="60" t="n">
        <v>135</v>
      </c>
      <c r="J50" s="60" t="n">
        <v>0</v>
      </c>
      <c r="K50" s="61" t="n">
        <v>928.8</v>
      </c>
      <c r="L50" s="61" t="n">
        <v>984.53</v>
      </c>
    </row>
    <row r="51">
      <c r="A51" s="57" t="inlineStr">
        <is>
          <t>60126026</t>
        </is>
      </c>
      <c r="B51" s="57" t="inlineStr">
        <is>
          <t>2025-11-25</t>
        </is>
      </c>
      <c r="C51" s="58" t="inlineStr">
        <is>
          <t>3-1/2X5-1/4 PSL/GLB</t>
        </is>
      </c>
      <c r="D51" s="57" t="inlineStr">
        <is>
          <t>LVL</t>
        </is>
      </c>
      <c r="E51" s="57" t="n">
        <v>3.5</v>
      </c>
      <c r="F51" s="57" t="n">
        <v>5.25</v>
      </c>
      <c r="G51" s="57" t="n">
        <v>12</v>
      </c>
      <c r="H51" s="59" t="n">
        <v>1</v>
      </c>
      <c r="I51" s="60" t="n">
        <v>12</v>
      </c>
      <c r="J51" s="60" t="n">
        <v>0</v>
      </c>
      <c r="K51" s="61" t="n">
        <v>82.56</v>
      </c>
      <c r="L51" s="61" t="n">
        <v>87.51000000000001</v>
      </c>
    </row>
    <row r="52">
      <c r="A52" s="57" t="inlineStr">
        <is>
          <t>60126026</t>
        </is>
      </c>
      <c r="B52" s="57" t="inlineStr">
        <is>
          <t>2025-11-25</t>
        </is>
      </c>
      <c r="C52" s="58" t="inlineStr">
        <is>
          <t>3-1/2X11-7/8 PSL/GLB</t>
        </is>
      </c>
      <c r="D52" s="57" t="inlineStr">
        <is>
          <t>LVL</t>
        </is>
      </c>
      <c r="E52" s="57" t="n">
        <v>3.5</v>
      </c>
      <c r="F52" s="57" t="n">
        <v>11.875</v>
      </c>
      <c r="G52" s="57" t="n">
        <v>10</v>
      </c>
      <c r="H52" s="59" t="n">
        <v>2</v>
      </c>
      <c r="I52" s="60" t="n">
        <v>20</v>
      </c>
      <c r="J52" s="60" t="n">
        <v>0</v>
      </c>
      <c r="K52" s="61" t="n">
        <v>260</v>
      </c>
      <c r="L52" s="61" t="n">
        <v>275.6</v>
      </c>
    </row>
    <row r="53">
      <c r="A53" s="57" t="inlineStr">
        <is>
          <t>60126026</t>
        </is>
      </c>
      <c r="B53" s="57" t="inlineStr">
        <is>
          <t>2025-11-25</t>
        </is>
      </c>
      <c r="C53" s="58" t="inlineStr">
        <is>
          <t>3-1/2X11-7/8 PSL/GLB</t>
        </is>
      </c>
      <c r="D53" s="57" t="inlineStr">
        <is>
          <t>LVL</t>
        </is>
      </c>
      <c r="E53" s="57" t="n">
        <v>3.5</v>
      </c>
      <c r="F53" s="57" t="n">
        <v>11.875</v>
      </c>
      <c r="G53" s="57" t="n">
        <v>14</v>
      </c>
      <c r="H53" s="59" t="n">
        <v>1</v>
      </c>
      <c r="I53" s="60" t="n">
        <v>14</v>
      </c>
      <c r="J53" s="60" t="n">
        <v>0</v>
      </c>
      <c r="K53" s="61" t="n">
        <v>182</v>
      </c>
      <c r="L53" s="61" t="n">
        <v>192.92</v>
      </c>
    </row>
    <row r="54">
      <c r="A54" s="57" t="inlineStr">
        <is>
          <t>60126026</t>
        </is>
      </c>
      <c r="B54" s="57" t="inlineStr">
        <is>
          <t>2025-11-25</t>
        </is>
      </c>
      <c r="C54" s="58" t="inlineStr">
        <is>
          <t>3-1/2X14 PSL/GLB</t>
        </is>
      </c>
      <c r="D54" s="57" t="inlineStr">
        <is>
          <t>LVL</t>
        </is>
      </c>
      <c r="E54" s="57" t="n">
        <v>3.5</v>
      </c>
      <c r="F54" s="57" t="n">
        <v>14</v>
      </c>
      <c r="G54" s="57" t="n">
        <v>14</v>
      </c>
      <c r="H54" s="59" t="n">
        <v>1</v>
      </c>
      <c r="I54" s="60" t="n">
        <v>14</v>
      </c>
      <c r="J54" s="60" t="n">
        <v>0</v>
      </c>
      <c r="K54" s="61" t="n">
        <v>216.86</v>
      </c>
      <c r="L54" s="61" t="n">
        <v>229.87</v>
      </c>
    </row>
    <row r="55">
      <c r="A55" s="47" t="inlineStr">
        <is>
          <t>60126028</t>
        </is>
      </c>
      <c r="B55" s="47" t="inlineStr">
        <is>
          <t>2025-12-08</t>
        </is>
      </c>
      <c r="C55" s="48" t="inlineStr">
        <is>
          <t>2 x 4 14 SYP #2</t>
        </is>
      </c>
      <c r="D55" s="47" t="inlineStr">
        <is>
          <t>Lumber</t>
        </is>
      </c>
      <c r="E55" s="47" t="n">
        <v>2</v>
      </c>
      <c r="F55" s="47" t="n">
        <v>4</v>
      </c>
      <c r="G55" s="47" t="n">
        <v>14</v>
      </c>
      <c r="H55" s="49" t="n">
        <v>208</v>
      </c>
      <c r="I55" s="50" t="n">
        <v>2912</v>
      </c>
      <c r="J55" s="50" t="n">
        <v>1941.3333</v>
      </c>
      <c r="K55" s="51" t="n">
        <v>999.79</v>
      </c>
      <c r="L55" s="51" t="n">
        <v>1059.78</v>
      </c>
    </row>
    <row r="56">
      <c r="A56" s="47" t="inlineStr">
        <is>
          <t>60126028</t>
        </is>
      </c>
      <c r="B56" s="47" t="inlineStr">
        <is>
          <t>2025-12-08</t>
        </is>
      </c>
      <c r="C56" s="48" t="inlineStr">
        <is>
          <t>2 x 6 14 SYP #2</t>
        </is>
      </c>
      <c r="D56" s="47" t="inlineStr">
        <is>
          <t>Lumber</t>
        </is>
      </c>
      <c r="E56" s="47" t="n">
        <v>2</v>
      </c>
      <c r="F56" s="47" t="n">
        <v>6</v>
      </c>
      <c r="G56" s="47" t="n">
        <v>14</v>
      </c>
      <c r="H56" s="49" t="n">
        <v>128</v>
      </c>
      <c r="I56" s="50" t="n">
        <v>1792</v>
      </c>
      <c r="J56" s="50" t="n">
        <v>1792</v>
      </c>
      <c r="K56" s="51" t="n">
        <v>779.52</v>
      </c>
      <c r="L56" s="51" t="n">
        <v>826.29</v>
      </c>
    </row>
    <row r="57">
      <c r="A57" s="47" t="inlineStr">
        <is>
          <t>60126028</t>
        </is>
      </c>
      <c r="B57" s="47" t="inlineStr">
        <is>
          <t>2025-12-08</t>
        </is>
      </c>
      <c r="C57" s="48" t="inlineStr">
        <is>
          <t>2 x 6 16 SYP #2</t>
        </is>
      </c>
      <c r="D57" s="47" t="inlineStr">
        <is>
          <t>Lumber</t>
        </is>
      </c>
      <c r="E57" s="47" t="n">
        <v>2</v>
      </c>
      <c r="F57" s="47" t="n">
        <v>6</v>
      </c>
      <c r="G57" s="47" t="n">
        <v>16</v>
      </c>
      <c r="H57" s="49" t="n">
        <v>128</v>
      </c>
      <c r="I57" s="50" t="n">
        <v>2048</v>
      </c>
      <c r="J57" s="50" t="n">
        <v>2048</v>
      </c>
      <c r="K57" s="51" t="n">
        <v>890.88</v>
      </c>
      <c r="L57" s="51" t="n">
        <v>944.33</v>
      </c>
    </row>
    <row r="58">
      <c r="A58" s="47" t="inlineStr">
        <is>
          <t>60126029</t>
        </is>
      </c>
      <c r="B58" s="47" t="inlineStr">
        <is>
          <t>2025-12-15</t>
        </is>
      </c>
      <c r="C58" s="48" t="inlineStr">
        <is>
          <t>2 x 6 9 SYP #2 PET 104-5/8</t>
        </is>
      </c>
      <c r="D58" s="47" t="inlineStr">
        <is>
          <t>Lumber</t>
        </is>
      </c>
      <c r="E58" s="47" t="n">
        <v>2</v>
      </c>
      <c r="F58" s="47" t="n">
        <v>6</v>
      </c>
      <c r="G58" s="47" t="n">
        <v>9</v>
      </c>
      <c r="H58" s="49" t="n">
        <v>2048</v>
      </c>
      <c r="I58" s="50" t="n">
        <v>18432</v>
      </c>
      <c r="J58" s="50" t="n">
        <v>18432</v>
      </c>
      <c r="K58" s="51" t="n">
        <v>9676.799999999999</v>
      </c>
      <c r="L58" s="51" t="n">
        <v>10257.41</v>
      </c>
    </row>
    <row r="59">
      <c r="A59" s="52" t="inlineStr">
        <is>
          <t>60126029</t>
        </is>
      </c>
      <c r="B59" s="52" t="inlineStr">
        <is>
          <t>2025-12-15</t>
        </is>
      </c>
      <c r="C59" s="53" t="inlineStr">
        <is>
          <t>23/32" 4X8 OSB T&amp;G ADVANTECH (CO#002)</t>
        </is>
      </c>
      <c r="D59" s="52" t="inlineStr">
        <is>
          <t>Panels</t>
        </is>
      </c>
      <c r="E59" s="52" t="n">
        <v>4</v>
      </c>
      <c r="F59" s="52" t="n">
        <v>8</v>
      </c>
      <c r="G59" s="52" t="inlineStr"/>
      <c r="H59" s="54" t="n">
        <v>135</v>
      </c>
      <c r="I59" s="55" t="n">
        <v>0</v>
      </c>
      <c r="J59" s="55" t="n">
        <v>4320</v>
      </c>
      <c r="K59" s="56" t="n">
        <v>4384.8</v>
      </c>
      <c r="L59" s="56" t="n">
        <v>4647.89</v>
      </c>
    </row>
    <row r="60">
      <c r="A60" s="47" t="inlineStr">
        <is>
          <t>60126030</t>
        </is>
      </c>
      <c r="B60" s="47" t="inlineStr">
        <is>
          <t>2025-12-15</t>
        </is>
      </c>
      <c r="C60" s="48" t="inlineStr">
        <is>
          <t>2 x 6 9 SYP #2 PET 104-5/8</t>
        </is>
      </c>
      <c r="D60" s="47" t="inlineStr">
        <is>
          <t>Lumber</t>
        </is>
      </c>
      <c r="E60" s="47" t="n">
        <v>2</v>
      </c>
      <c r="F60" s="47" t="n">
        <v>6</v>
      </c>
      <c r="G60" s="47" t="n">
        <v>9</v>
      </c>
      <c r="H60" s="49" t="n">
        <v>512</v>
      </c>
      <c r="I60" s="50" t="n">
        <v>4608</v>
      </c>
      <c r="J60" s="50" t="n">
        <v>4608</v>
      </c>
      <c r="K60" s="51" t="n">
        <v>2419.2</v>
      </c>
      <c r="L60" s="51" t="n">
        <v>2564.35</v>
      </c>
    </row>
    <row r="61">
      <c r="A61" s="52" t="inlineStr">
        <is>
          <t>60126030</t>
        </is>
      </c>
      <c r="B61" s="52" t="inlineStr">
        <is>
          <t>2025-12-15</t>
        </is>
      </c>
      <c r="C61" s="53" t="inlineStr">
        <is>
          <t>15/32" PLY</t>
        </is>
      </c>
      <c r="D61" s="52" t="inlineStr">
        <is>
          <t>Panels</t>
        </is>
      </c>
      <c r="E61" s="52" t="n">
        <v>4</v>
      </c>
      <c r="F61" s="52" t="n">
        <v>8</v>
      </c>
      <c r="G61" s="52" t="inlineStr"/>
      <c r="H61" s="54" t="n">
        <v>786</v>
      </c>
      <c r="I61" s="55" t="n">
        <v>0</v>
      </c>
      <c r="J61" s="55" t="n">
        <v>25152</v>
      </c>
      <c r="K61" s="56" t="n">
        <v>16474.56</v>
      </c>
      <c r="L61" s="56" t="n">
        <v>17463.03</v>
      </c>
    </row>
    <row r="62">
      <c r="A62" s="47" t="inlineStr">
        <is>
          <t>60126031</t>
        </is>
      </c>
      <c r="B62" s="47" t="inlineStr">
        <is>
          <t>2025-12-18</t>
        </is>
      </c>
      <c r="C62" s="48" t="inlineStr">
        <is>
          <t>2 x 4 12 SYP #2</t>
        </is>
      </c>
      <c r="D62" s="47" t="inlineStr">
        <is>
          <t>Lumber</t>
        </is>
      </c>
      <c r="E62" s="47" t="n">
        <v>2</v>
      </c>
      <c r="F62" s="47" t="n">
        <v>4</v>
      </c>
      <c r="G62" s="47" t="n">
        <v>12</v>
      </c>
      <c r="H62" s="49" t="n">
        <v>832</v>
      </c>
      <c r="I62" s="50" t="n">
        <v>9984</v>
      </c>
      <c r="J62" s="50" t="n">
        <v>6656</v>
      </c>
      <c r="K62" s="51" t="n">
        <v>3427.84</v>
      </c>
      <c r="L62" s="51" t="n">
        <v>3633.51</v>
      </c>
    </row>
    <row r="63">
      <c r="A63" s="47" t="inlineStr">
        <is>
          <t>60126032</t>
        </is>
      </c>
      <c r="B63" s="47" t="inlineStr">
        <is>
          <t>2025-12-22</t>
        </is>
      </c>
      <c r="C63" s="48" t="inlineStr">
        <is>
          <t>2 x 6 12 SYP #2</t>
        </is>
      </c>
      <c r="D63" s="47" t="inlineStr">
        <is>
          <t>Lumber</t>
        </is>
      </c>
      <c r="E63" s="47" t="n">
        <v>2</v>
      </c>
      <c r="F63" s="47" t="n">
        <v>6</v>
      </c>
      <c r="G63" s="47" t="n">
        <v>12</v>
      </c>
      <c r="H63" s="49" t="n">
        <v>768</v>
      </c>
      <c r="I63" s="50" t="n">
        <v>9216</v>
      </c>
      <c r="J63" s="50" t="n">
        <v>9216</v>
      </c>
      <c r="K63" s="51" t="n">
        <v>4008.96</v>
      </c>
      <c r="L63" s="51" t="n">
        <v>4249.5</v>
      </c>
    </row>
    <row r="64">
      <c r="A64" s="47" t="inlineStr">
        <is>
          <t>60126032</t>
        </is>
      </c>
      <c r="B64" s="47" t="inlineStr">
        <is>
          <t>2025-12-22</t>
        </is>
      </c>
      <c r="C64" s="48" t="inlineStr">
        <is>
          <t>SYP DRY #2 STUD PET 104-5/8" 2X4X9 (CO#005)</t>
        </is>
      </c>
      <c r="D64" s="47" t="inlineStr">
        <is>
          <t>Lumber</t>
        </is>
      </c>
      <c r="E64" s="47" t="n">
        <v>2</v>
      </c>
      <c r="F64" s="47" t="n">
        <v>4</v>
      </c>
      <c r="G64" s="47" t="n">
        <v>9</v>
      </c>
      <c r="H64" s="49" t="n">
        <v>1664</v>
      </c>
      <c r="I64" s="50" t="n">
        <v>14976</v>
      </c>
      <c r="J64" s="50" t="n">
        <v>9984</v>
      </c>
      <c r="K64" s="51" t="n">
        <v>5441.28</v>
      </c>
      <c r="L64" s="51" t="n">
        <v>5767.76</v>
      </c>
    </row>
    <row r="65">
      <c r="A65" s="47" t="inlineStr">
        <is>
          <t>60126033</t>
        </is>
      </c>
      <c r="B65" s="47" t="inlineStr">
        <is>
          <t>2025-12-31</t>
        </is>
      </c>
      <c r="C65" s="48" t="inlineStr">
        <is>
          <t>2 x 8 1 PT</t>
        </is>
      </c>
      <c r="D65" s="47" t="inlineStr">
        <is>
          <t>Lumber</t>
        </is>
      </c>
      <c r="E65" s="47" t="n">
        <v>2</v>
      </c>
      <c r="F65" s="47" t="n">
        <v>8</v>
      </c>
      <c r="G65" s="47" t="n">
        <v>1</v>
      </c>
      <c r="H65" s="49" t="n">
        <v>4032</v>
      </c>
      <c r="I65" s="50" t="n">
        <v>4032</v>
      </c>
      <c r="J65" s="50" t="n">
        <v>5376</v>
      </c>
      <c r="K65" s="51" t="n">
        <v>4381.44</v>
      </c>
      <c r="L65" s="51" t="n">
        <v>4644.33</v>
      </c>
    </row>
    <row r="66">
      <c r="A66" s="52" t="inlineStr">
        <is>
          <t>60126034</t>
        </is>
      </c>
      <c r="B66" s="52" t="inlineStr">
        <is>
          <t>2025-12-31</t>
        </is>
      </c>
      <c r="C66" s="53" t="inlineStr">
        <is>
          <t>23/32" OSB T&amp;G - PT</t>
        </is>
      </c>
      <c r="D66" s="52" t="inlineStr">
        <is>
          <t>Panels</t>
        </is>
      </c>
      <c r="E66" s="52" t="n">
        <v>4</v>
      </c>
      <c r="F66" s="52" t="n">
        <v>8</v>
      </c>
      <c r="G66" s="52" t="inlineStr"/>
      <c r="H66" s="54" t="n">
        <v>96</v>
      </c>
      <c r="I66" s="55" t="n">
        <v>0</v>
      </c>
      <c r="J66" s="55" t="n">
        <v>3072</v>
      </c>
      <c r="K66" s="56" t="n">
        <v>3947.52</v>
      </c>
      <c r="L66" s="56" t="n">
        <v>4184.37</v>
      </c>
    </row>
    <row r="67">
      <c r="A67" s="47" t="inlineStr">
        <is>
          <t>60126036</t>
        </is>
      </c>
      <c r="B67" s="47" t="inlineStr">
        <is>
          <t>2025-12-31</t>
        </is>
      </c>
      <c r="C67" s="48" t="inlineStr">
        <is>
          <t>2 x 4 12 SYP #2</t>
        </is>
      </c>
      <c r="D67" s="47" t="inlineStr">
        <is>
          <t>Lumber</t>
        </is>
      </c>
      <c r="E67" s="47" t="n">
        <v>2</v>
      </c>
      <c r="F67" s="47" t="n">
        <v>4</v>
      </c>
      <c r="G67" s="47" t="n">
        <v>12</v>
      </c>
      <c r="H67" s="49" t="n">
        <v>208</v>
      </c>
      <c r="I67" s="50" t="n">
        <v>2496</v>
      </c>
      <c r="J67" s="50" t="n">
        <v>1664</v>
      </c>
      <c r="K67" s="51" t="n">
        <v>856.96</v>
      </c>
      <c r="L67" s="51" t="n">
        <v>908.38</v>
      </c>
    </row>
    <row r="68">
      <c r="A68" s="47" t="inlineStr">
        <is>
          <t>60126036</t>
        </is>
      </c>
      <c r="B68" s="47" t="inlineStr">
        <is>
          <t>2025-12-31</t>
        </is>
      </c>
      <c r="C68" s="48" t="inlineStr">
        <is>
          <t>2 x 6 9 SYP #2 PET 104-5/8</t>
        </is>
      </c>
      <c r="D68" s="47" t="inlineStr">
        <is>
          <t>Lumber</t>
        </is>
      </c>
      <c r="E68" s="47" t="n">
        <v>2</v>
      </c>
      <c r="F68" s="47" t="n">
        <v>6</v>
      </c>
      <c r="G68" s="47" t="n">
        <v>9</v>
      </c>
      <c r="H68" s="49" t="n">
        <v>128</v>
      </c>
      <c r="I68" s="50" t="n">
        <v>1152</v>
      </c>
      <c r="J68" s="50" t="n">
        <v>1152</v>
      </c>
      <c r="K68" s="51" t="n">
        <v>604.8</v>
      </c>
      <c r="L68" s="51" t="n">
        <v>641.09</v>
      </c>
    </row>
    <row r="69">
      <c r="A69" s="52" t="inlineStr">
        <is>
          <t>60126036</t>
        </is>
      </c>
      <c r="B69" s="52" t="inlineStr">
        <is>
          <t>2025-12-31</t>
        </is>
      </c>
      <c r="C69" s="53" t="inlineStr">
        <is>
          <t>15/32" PLY</t>
        </is>
      </c>
      <c r="D69" s="52" t="inlineStr">
        <is>
          <t>Panels</t>
        </is>
      </c>
      <c r="E69" s="52" t="n">
        <v>4</v>
      </c>
      <c r="F69" s="52" t="n">
        <v>8</v>
      </c>
      <c r="G69" s="52" t="inlineStr"/>
      <c r="H69" s="54" t="n">
        <v>140</v>
      </c>
      <c r="I69" s="55" t="n">
        <v>0</v>
      </c>
      <c r="J69" s="55" t="n">
        <v>4480</v>
      </c>
      <c r="K69" s="56" t="n">
        <v>2934.4</v>
      </c>
      <c r="L69" s="56" t="n">
        <v>3110.46</v>
      </c>
    </row>
    <row r="70">
      <c r="A70" s="52" t="inlineStr">
        <is>
          <t>60126036</t>
        </is>
      </c>
      <c r="B70" s="52" t="inlineStr">
        <is>
          <t>2025-12-31</t>
        </is>
      </c>
      <c r="C70" s="53" t="inlineStr">
        <is>
          <t>19/32" 4X8 PLYWOOD (CO#001)</t>
        </is>
      </c>
      <c r="D70" s="52" t="inlineStr">
        <is>
          <t>Panels</t>
        </is>
      </c>
      <c r="E70" s="52" t="n">
        <v>4</v>
      </c>
      <c r="F70" s="52" t="n">
        <v>8</v>
      </c>
      <c r="G70" s="52" t="inlineStr"/>
      <c r="H70" s="54" t="n">
        <v>336</v>
      </c>
      <c r="I70" s="55" t="n">
        <v>0</v>
      </c>
      <c r="J70" s="55" t="n">
        <v>10752</v>
      </c>
      <c r="K70" s="56" t="n">
        <v>9192.959999999999</v>
      </c>
      <c r="L70" s="56" t="n">
        <v>9744.540000000001</v>
      </c>
    </row>
    <row r="71">
      <c r="A71" s="47" t="inlineStr">
        <is>
          <t>60126036</t>
        </is>
      </c>
      <c r="B71" s="47" t="inlineStr">
        <is>
          <t>2025-12-31</t>
        </is>
      </c>
      <c r="C71" s="48" t="inlineStr">
        <is>
          <t>SYP DRY #2 S4S 2X6XR/L (CO#009)</t>
        </is>
      </c>
      <c r="D71" s="47" t="inlineStr">
        <is>
          <t>Lumber</t>
        </is>
      </c>
      <c r="E71" s="47" t="n">
        <v>2</v>
      </c>
      <c r="F71" s="47" t="n">
        <v>6</v>
      </c>
      <c r="G71" s="47" t="n">
        <v>1</v>
      </c>
      <c r="H71" s="49" t="n">
        <v>3584</v>
      </c>
      <c r="I71" s="50" t="n">
        <v>3584</v>
      </c>
      <c r="J71" s="50" t="n">
        <v>3584</v>
      </c>
      <c r="K71" s="51" t="n">
        <v>1774.08</v>
      </c>
      <c r="L71" s="51" t="n">
        <v>1880.52</v>
      </c>
    </row>
    <row r="72">
      <c r="A72" s="47" t="inlineStr">
        <is>
          <t>60126038</t>
        </is>
      </c>
      <c r="B72" s="47" t="inlineStr">
        <is>
          <t>2026-01-20</t>
        </is>
      </c>
      <c r="C72" s="48" t="inlineStr">
        <is>
          <t>2 x 4 1 PT</t>
        </is>
      </c>
      <c r="D72" s="47" t="inlineStr">
        <is>
          <t>Lumber</t>
        </is>
      </c>
      <c r="E72" s="47" t="n">
        <v>2</v>
      </c>
      <c r="F72" s="47" t="n">
        <v>4</v>
      </c>
      <c r="G72" s="47" t="n">
        <v>1</v>
      </c>
      <c r="H72" s="49" t="n">
        <v>2912</v>
      </c>
      <c r="I72" s="50" t="n">
        <v>2912</v>
      </c>
      <c r="J72" s="50" t="n">
        <v>1941.3333</v>
      </c>
      <c r="K72" s="51" t="n">
        <v>1523.95</v>
      </c>
      <c r="L72" s="51" t="n">
        <v>1615.39</v>
      </c>
    </row>
    <row r="73">
      <c r="A73" s="47" t="inlineStr">
        <is>
          <t>60126039</t>
        </is>
      </c>
      <c r="B73" s="47" t="inlineStr">
        <is>
          <t>2026-01-28</t>
        </is>
      </c>
      <c r="C73" s="48" t="inlineStr">
        <is>
          <t>2 x 4 12 SYP #2</t>
        </is>
      </c>
      <c r="D73" s="47" t="inlineStr">
        <is>
          <t>Lumber</t>
        </is>
      </c>
      <c r="E73" s="47" t="n">
        <v>2</v>
      </c>
      <c r="F73" s="47" t="n">
        <v>4</v>
      </c>
      <c r="G73" s="47" t="n">
        <v>12</v>
      </c>
      <c r="H73" s="49" t="n">
        <v>624</v>
      </c>
      <c r="I73" s="50" t="n">
        <v>7488</v>
      </c>
      <c r="J73" s="50" t="n">
        <v>4992</v>
      </c>
      <c r="K73" s="51" t="n">
        <v>2570.88</v>
      </c>
      <c r="L73" s="51" t="n">
        <v>2725.13</v>
      </c>
    </row>
    <row r="74">
      <c r="A74" s="52" t="inlineStr">
        <is>
          <t>60126040</t>
        </is>
      </c>
      <c r="B74" s="52" t="inlineStr">
        <is>
          <t>2026-01-29</t>
        </is>
      </c>
      <c r="C74" s="53" t="inlineStr">
        <is>
          <t>19/32" 4X8 PLYWOOD (CO#001)</t>
        </is>
      </c>
      <c r="D74" s="52" t="inlineStr">
        <is>
          <t>Panels</t>
        </is>
      </c>
      <c r="E74" s="52" t="n">
        <v>4</v>
      </c>
      <c r="F74" s="52" t="n">
        <v>8</v>
      </c>
      <c r="G74" s="52" t="inlineStr"/>
      <c r="H74" s="54" t="n">
        <v>56</v>
      </c>
      <c r="I74" s="55" t="n">
        <v>0</v>
      </c>
      <c r="J74" s="55" t="n">
        <v>1792</v>
      </c>
      <c r="K74" s="56" t="n">
        <v>1532.16</v>
      </c>
      <c r="L74" s="56" t="n">
        <v>1624.09</v>
      </c>
    </row>
    <row r="75">
      <c r="A75" s="47" t="inlineStr">
        <is>
          <t>60126043</t>
        </is>
      </c>
      <c r="B75" s="47" t="inlineStr">
        <is>
          <t>2026-03-17</t>
        </is>
      </c>
      <c r="C75" s="48" t="inlineStr">
        <is>
          <t>2 x 4 12 SYP #2</t>
        </is>
      </c>
      <c r="D75" s="47" t="inlineStr">
        <is>
          <t>Lumber</t>
        </is>
      </c>
      <c r="E75" s="47" t="n">
        <v>2</v>
      </c>
      <c r="F75" s="47" t="n">
        <v>4</v>
      </c>
      <c r="G75" s="47" t="n">
        <v>12</v>
      </c>
      <c r="H75" s="49" t="n">
        <v>208</v>
      </c>
      <c r="I75" s="50" t="n">
        <v>2496</v>
      </c>
      <c r="J75" s="50" t="n">
        <v>1664</v>
      </c>
      <c r="K75" s="51" t="n">
        <v>856.96</v>
      </c>
      <c r="L75" s="51" t="n">
        <v>908.38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6" customWidth="1" min="4" max="4"/>
    <col width="6" customWidth="1" min="5" max="5"/>
    <col width="8" customWidth="1" min="6" max="6"/>
    <col width="10" customWidth="1" min="7" max="7"/>
    <col width="12" customWidth="1" min="8" max="8"/>
    <col width="40" customWidth="1" min="9" max="9"/>
    <col width="14" customWidth="1" min="10" max="10"/>
  </cols>
  <sheetData>
    <row r="1" ht="30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Invoice Description</t>
        </is>
      </c>
      <c r="D1" s="1" t="inlineStr">
        <is>
          <t>T</t>
        </is>
      </c>
      <c r="E1" s="1" t="inlineStr">
        <is>
          <t>W</t>
        </is>
      </c>
      <c r="F1" s="1" t="inlineStr">
        <is>
          <t>Length</t>
        </is>
      </c>
      <c r="G1" s="1" t="inlineStr">
        <is>
          <t>Qty</t>
        </is>
      </c>
      <c r="H1" s="1" t="inlineStr">
        <is>
          <t>Unit Cost</t>
        </is>
      </c>
      <c r="I1" s="1" t="inlineStr">
        <is>
          <t>Notes</t>
        </is>
      </c>
      <c r="J1" s="1" t="inlineStr">
        <is>
          <t>Status</t>
        </is>
      </c>
    </row>
    <row r="2">
      <c r="A2" s="52" t="inlineStr">
        <is>
          <t>60126014</t>
        </is>
      </c>
      <c r="B2" s="52" t="inlineStr">
        <is>
          <t>2025-11-20</t>
        </is>
      </c>
      <c r="C2" s="53" t="inlineStr">
        <is>
          <t>SYP MCA TREATED #2/BTR S4S</t>
        </is>
      </c>
      <c r="D2" s="52" t="n">
        <v>6</v>
      </c>
      <c r="E2" s="52" t="n">
        <v>6</v>
      </c>
      <c r="F2" s="52" t="n">
        <v>10</v>
      </c>
      <c r="G2" s="52" t="n">
        <v>12</v>
      </c>
      <c r="H2" s="55" t="n">
        <v>0</v>
      </c>
      <c r="I2" s="53" t="inlineStr">
        <is>
          <t>No PO match found. Unit cost on invoice: $0.0. Please assign to a PO line item or add as new.</t>
        </is>
      </c>
      <c r="J2" s="53" t="inlineStr">
        <is>
          <t>Assigned to: 6 x 6 10 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2026-05-06T11:18:49Z</dcterms:created>
  <dcterms:modified xsi:type="dcterms:W3CDTF">2026-05-06T11:18:50Z</dcterms:modified>
</cp:coreProperties>
</file>