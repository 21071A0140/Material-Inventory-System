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Change Orders" sheetId="2" state="visible" r:id="rId2"/>
    <sheet name="Inv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DDEEFF"/>
      </patternFill>
    </fill>
    <fill>
      <patternFill patternType="solid">
        <fgColor rgb="00AACCEE"/>
      </patternFill>
    </fill>
    <fill>
      <patternFill patternType="solid">
        <fgColor rgb="00D4EDDA"/>
      </patternFill>
    </fill>
    <fill>
      <patternFill patternType="solid">
        <fgColor rgb="0093C47D"/>
      </patternFill>
    </fill>
    <fill>
      <patternFill patternType="solid">
        <fgColor rgb="00F8D7DA"/>
      </patternFill>
    </fill>
    <fill>
      <patternFill patternType="solid">
        <fgColor rgb="00E06666"/>
      </patternFill>
    </fill>
    <fill>
      <patternFill patternType="solid">
        <fgColor rgb="00FFF3CD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center" vertical="center" wrapText="1"/>
    </xf>
    <xf numFmtId="4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3" fontId="2" fillId="5" borderId="1" applyAlignment="1" pivotButton="0" quotePrefix="0" xfId="0">
      <alignment horizontal="center" vertical="center" wrapText="1"/>
    </xf>
    <xf numFmtId="4" fontId="2" fillId="5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center" vertical="center"/>
    </xf>
    <xf numFmtId="4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3" fontId="2" fillId="7" borderId="1" applyAlignment="1" pivotButton="0" quotePrefix="0" xfId="0">
      <alignment horizontal="center" vertical="center" wrapText="1"/>
    </xf>
    <xf numFmtId="4" fontId="2" fillId="7" borderId="1" applyAlignment="1" pivotButton="0" quotePrefix="0" xfId="0">
      <alignment horizontal="center" vertical="center" wrapText="1"/>
    </xf>
    <xf numFmtId="164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3" fontId="3" fillId="8" borderId="1" applyAlignment="1" pivotButton="0" quotePrefix="0" xfId="0">
      <alignment horizontal="center" vertical="center"/>
    </xf>
    <xf numFmtId="4" fontId="3" fillId="8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3" fontId="2" fillId="9" borderId="1" applyAlignment="1" pivotButton="0" quotePrefix="0" xfId="0">
      <alignment horizontal="center" vertical="center" wrapText="1"/>
    </xf>
    <xf numFmtId="4" fontId="2" fillId="9" borderId="1" applyAlignment="1" pivotButton="0" quotePrefix="0" xfId="0">
      <alignment horizontal="center" vertical="center" wrapText="1"/>
    </xf>
    <xf numFmtId="164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3" fontId="3" fillId="10" borderId="1" applyAlignment="1" pivotButton="0" quotePrefix="0" xfId="0">
      <alignment horizontal="center" vertical="center"/>
    </xf>
    <xf numFmtId="4" fontId="3" fillId="10" borderId="1" applyAlignment="1" pivotButton="0" quotePrefix="0" xfId="0">
      <alignment horizontal="center" vertical="center"/>
    </xf>
    <xf numFmtId="164" fontId="3" fillId="1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3" fontId="1" fillId="2" borderId="1" applyAlignment="1" pivotButton="0" quotePrefix="0" xfId="0">
      <alignment horizontal="center" vertical="center"/>
    </xf>
    <xf numFmtId="4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3" fontId="2" fillId="5" borderId="1" applyAlignment="1" pivotButton="0" quotePrefix="0" xfId="0">
      <alignment horizontal="center" vertical="center"/>
    </xf>
    <xf numFmtId="4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3" fontId="2" fillId="9" borderId="1" applyAlignment="1" pivotButton="0" quotePrefix="0" xfId="0">
      <alignment horizontal="center" vertical="center"/>
    </xf>
    <xf numFmtId="4" fontId="2" fillId="9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7" customWidth="1" min="3" max="3"/>
    <col width="6" customWidth="1" min="4" max="4"/>
    <col width="7" customWidth="1" min="5" max="5"/>
    <col width="9" customWidth="1" min="6" max="6"/>
    <col width="9" customWidth="1" min="7" max="7"/>
    <col width="9" customWidth="1" min="8" max="8"/>
    <col width="11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8" customWidth="1" min="15" max="15"/>
    <col width="13" customWidth="1" min="16" max="16"/>
    <col width="12" customWidth="1" min="17" max="17"/>
    <col width="12" customWidth="1" min="18" max="18"/>
    <col width="14" customWidth="1" min="19" max="19"/>
    <col width="15" customWidth="1" min="20" max="20"/>
    <col width="12" customWidth="1" min="21" max="21"/>
    <col width="12" customWidth="1" min="22" max="22"/>
    <col width="12" customWidth="1" min="23" max="23"/>
    <col width="14" customWidth="1" min="24" max="24"/>
    <col width="15" customWidth="1" min="25" max="25"/>
    <col width="14" customWidth="1" min="26" max="26"/>
    <col width="14" customWidth="1" min="27" max="27"/>
    <col width="14" customWidth="1" min="28" max="28"/>
  </cols>
  <sheetData>
    <row r="1" ht="44" customHeight="1">
      <c r="A1" s="1" t="inlineStr">
        <is>
          <t>Type</t>
        </is>
      </c>
      <c r="B1" s="1" t="inlineStr">
        <is>
          <t>Description</t>
        </is>
      </c>
      <c r="C1" s="1" t="inlineStr">
        <is>
          <t>T</t>
        </is>
      </c>
      <c r="D1" s="1" t="inlineStr">
        <is>
          <t>W</t>
        </is>
      </c>
      <c r="E1" s="1" t="inlineStr">
        <is>
          <t>Length</t>
        </is>
      </c>
      <c r="F1" s="1" t="inlineStr">
        <is>
          <t>PO Qty</t>
        </is>
      </c>
      <c r="G1" s="1" t="inlineStr">
        <is>
          <t>CO Qty</t>
        </is>
      </c>
      <c r="H1" s="1" t="inlineStr">
        <is>
          <t>PO+CO Qty</t>
        </is>
      </c>
      <c r="I1" s="1" t="inlineStr">
        <is>
          <t>Unit Cost</t>
        </is>
      </c>
      <c r="J1" s="1" t="inlineStr">
        <is>
          <t>LF (Linear Ft)</t>
        </is>
      </c>
      <c r="K1" s="1" t="inlineStr">
        <is>
          <t>BF/SF</t>
        </is>
      </c>
      <c r="L1" s="1" t="inlineStr">
        <is>
          <t>Total Cost</t>
        </is>
      </c>
      <c r="M1" s="1" t="inlineStr">
        <is>
          <t>Total Cost+Tax</t>
        </is>
      </c>
      <c r="N1" s="1" t="inlineStr">
        <is>
          <t>2026-06-18</t>
        </is>
      </c>
      <c r="O1" s="1" t="inlineStr">
        <is>
          <t>Invoice #</t>
        </is>
      </c>
      <c r="P1" s="1" t="inlineStr">
        <is>
          <t>Total Delivered</t>
        </is>
      </c>
      <c r="Q1" s="1" t="inlineStr">
        <is>
          <t>Delivered LF</t>
        </is>
      </c>
      <c r="R1" s="1" t="inlineStr">
        <is>
          <t>Delivered BF/SF</t>
        </is>
      </c>
      <c r="S1" s="1" t="inlineStr">
        <is>
          <t>Delivered Cost</t>
        </is>
      </c>
      <c r="T1" s="1" t="inlineStr">
        <is>
          <t>Delivered Cost+Tax</t>
        </is>
      </c>
      <c r="U1" s="1" t="inlineStr">
        <is>
          <t>Remaining Qty</t>
        </is>
      </c>
      <c r="V1" s="1" t="inlineStr">
        <is>
          <t>Remaining LF</t>
        </is>
      </c>
      <c r="W1" s="1" t="inlineStr">
        <is>
          <t>Remaining BF/SF</t>
        </is>
      </c>
      <c r="X1" s="1" t="inlineStr">
        <is>
          <t>Remaining Cost</t>
        </is>
      </c>
      <c r="Y1" s="1" t="inlineStr">
        <is>
          <t>Remaining Cost+Tax</t>
        </is>
      </c>
      <c r="Z1" s="1" t="inlineStr">
        <is>
          <t>Leftover LF (Site)</t>
        </is>
      </c>
      <c r="AA1" s="1" t="inlineStr">
        <is>
          <t>Material Used LF</t>
        </is>
      </c>
      <c r="AB1" s="1" t="inlineStr">
        <is>
          <t>Material Used Cost</t>
        </is>
      </c>
    </row>
    <row r="2">
      <c r="A2" s="2" t="inlineStr">
        <is>
          <t>Lumber</t>
        </is>
      </c>
      <c r="B2" s="3" t="inlineStr">
        <is>
          <t>1 x 4 1 PT</t>
        </is>
      </c>
      <c r="C2" s="2" t="n">
        <v>1</v>
      </c>
      <c r="D2" s="2" t="n">
        <v>4</v>
      </c>
      <c r="E2" s="2" t="n">
        <v>1</v>
      </c>
      <c r="F2" s="4" t="n">
        <v>3113</v>
      </c>
      <c r="G2" s="4" t="n">
        <v>0</v>
      </c>
      <c r="H2" s="4">
        <f>F2+G2</f>
        <v/>
      </c>
      <c r="I2" s="5" t="n">
        <v>1595</v>
      </c>
      <c r="J2" s="5">
        <f>H2*1.0</f>
        <v/>
      </c>
      <c r="K2" s="5">
        <f>(H2*1.0*4.0*1.0)/12</f>
        <v/>
      </c>
      <c r="L2" s="6">
        <f>(K2*I2)/1000</f>
        <v/>
      </c>
      <c r="M2" s="6">
        <f>L2*1.0</f>
        <v/>
      </c>
      <c r="N2" s="4" t="n">
        <v>0</v>
      </c>
      <c r="O2" s="2" t="inlineStr"/>
      <c r="P2" s="4">
        <f>SUM(N2:N2)</f>
        <v/>
      </c>
      <c r="Q2" s="5">
        <f>P2</f>
        <v/>
      </c>
      <c r="R2" s="5">
        <f>(P2*1.0*4.0)/12</f>
        <v/>
      </c>
      <c r="S2" s="6">
        <f>(R2*I2)/1000</f>
        <v/>
      </c>
      <c r="T2" s="6">
        <f>S2*1.0</f>
        <v/>
      </c>
      <c r="U2" s="4">
        <f>J2-Q2</f>
        <v/>
      </c>
      <c r="V2" s="5">
        <f>U2</f>
        <v/>
      </c>
      <c r="W2" s="5">
        <f>(U2*1.0*4.0)/12</f>
        <v/>
      </c>
      <c r="X2" s="6">
        <f>(W2*I2)/1000</f>
        <v/>
      </c>
      <c r="Y2" s="6">
        <f>X2*1.0</f>
        <v/>
      </c>
      <c r="Z2" s="5" t="n">
        <v>0</v>
      </c>
      <c r="AA2" s="5">
        <f>Q2-Z2</f>
        <v/>
      </c>
      <c r="AB2" s="6">
        <f>((AA2*1.0*4.0)/12*I2)/1000</f>
        <v/>
      </c>
    </row>
    <row r="3">
      <c r="A3" s="2" t="inlineStr">
        <is>
          <t>Lumber</t>
        </is>
      </c>
      <c r="B3" s="3" t="inlineStr">
        <is>
          <t>2 x 4 1 PT</t>
        </is>
      </c>
      <c r="C3" s="2" t="n">
        <v>2</v>
      </c>
      <c r="D3" s="2" t="n">
        <v>4</v>
      </c>
      <c r="E3" s="2" t="n">
        <v>1</v>
      </c>
      <c r="F3" s="4" t="n">
        <v>21738</v>
      </c>
      <c r="G3" s="4" t="n">
        <v>0</v>
      </c>
      <c r="H3" s="4">
        <f>F3+G3</f>
        <v/>
      </c>
      <c r="I3" s="5" t="n">
        <v>950</v>
      </c>
      <c r="J3" s="5">
        <f>H3*1.0</f>
        <v/>
      </c>
      <c r="K3" s="5">
        <f>(H3*2.0*4.0*1.0)/12</f>
        <v/>
      </c>
      <c r="L3" s="6">
        <f>(K3*I3)/1000</f>
        <v/>
      </c>
      <c r="M3" s="6">
        <f>L3*1.0</f>
        <v/>
      </c>
      <c r="N3" s="4" t="n">
        <v>0</v>
      </c>
      <c r="O3" s="2" t="inlineStr"/>
      <c r="P3" s="4">
        <f>SUM(N3:N3)</f>
        <v/>
      </c>
      <c r="Q3" s="5">
        <f>P3</f>
        <v/>
      </c>
      <c r="R3" s="5">
        <f>(P3*2.0*4.0)/12</f>
        <v/>
      </c>
      <c r="S3" s="6">
        <f>(R3*I3)/1000</f>
        <v/>
      </c>
      <c r="T3" s="6">
        <f>S3*1.0</f>
        <v/>
      </c>
      <c r="U3" s="4">
        <f>J3-Q3</f>
        <v/>
      </c>
      <c r="V3" s="5">
        <f>U3</f>
        <v/>
      </c>
      <c r="W3" s="5">
        <f>(U3*2.0*4.0)/12</f>
        <v/>
      </c>
      <c r="X3" s="6">
        <f>(W3*I3)/1000</f>
        <v/>
      </c>
      <c r="Y3" s="6">
        <f>X3*1.0</f>
        <v/>
      </c>
      <c r="Z3" s="5" t="n">
        <v>0</v>
      </c>
      <c r="AA3" s="5">
        <f>Q3-Z3</f>
        <v/>
      </c>
      <c r="AB3" s="6">
        <f>((AA3*2.0*4.0)/12*I3)/1000</f>
        <v/>
      </c>
    </row>
    <row r="4">
      <c r="A4" s="2" t="inlineStr">
        <is>
          <t>Lumber</t>
        </is>
      </c>
      <c r="B4" s="3" t="inlineStr">
        <is>
          <t>2 x 4 12 PT</t>
        </is>
      </c>
      <c r="C4" s="2" t="n">
        <v>2</v>
      </c>
      <c r="D4" s="2" t="n">
        <v>4</v>
      </c>
      <c r="E4" s="2" t="n">
        <v>12</v>
      </c>
      <c r="F4" s="4" t="n">
        <v>1557</v>
      </c>
      <c r="G4" s="4" t="n">
        <v>0</v>
      </c>
      <c r="H4" s="4">
        <f>F4+G4</f>
        <v/>
      </c>
      <c r="I4" s="5" t="n">
        <v>950</v>
      </c>
      <c r="J4" s="5">
        <f>H4*12.0</f>
        <v/>
      </c>
      <c r="K4" s="5">
        <f>(H4*2.0*4.0*12.0)/12</f>
        <v/>
      </c>
      <c r="L4" s="6">
        <f>(K4*I4)/1000</f>
        <v/>
      </c>
      <c r="M4" s="6">
        <f>L4*1.0</f>
        <v/>
      </c>
      <c r="N4" s="4" t="n">
        <v>0</v>
      </c>
      <c r="O4" s="2" t="inlineStr"/>
      <c r="P4" s="4">
        <f>SUM(N4:N4)</f>
        <v/>
      </c>
      <c r="Q4" s="5">
        <f>P4*12.0</f>
        <v/>
      </c>
      <c r="R4" s="5">
        <f>(P4*2.0*4.0*12.0)/12</f>
        <v/>
      </c>
      <c r="S4" s="6">
        <f>(R4*I4)/1000</f>
        <v/>
      </c>
      <c r="T4" s="6">
        <f>S4*1.0</f>
        <v/>
      </c>
      <c r="U4" s="4">
        <f>H4-P4</f>
        <v/>
      </c>
      <c r="V4" s="5">
        <f>U4*12.0</f>
        <v/>
      </c>
      <c r="W4" s="5">
        <f>(U4*2.0*4.0*12.0)/12</f>
        <v/>
      </c>
      <c r="X4" s="6">
        <f>(W4*I4)/1000</f>
        <v/>
      </c>
      <c r="Y4" s="6">
        <f>X4*1.0</f>
        <v/>
      </c>
      <c r="Z4" s="5" t="n">
        <v>0</v>
      </c>
      <c r="AA4" s="5">
        <f>Q4-Z4</f>
        <v/>
      </c>
      <c r="AB4" s="6">
        <f>((AA4*2.0*4.0)/12*I4)/1000</f>
        <v/>
      </c>
    </row>
    <row r="5">
      <c r="A5" s="2" t="inlineStr">
        <is>
          <t>Lumber</t>
        </is>
      </c>
      <c r="B5" s="3" t="inlineStr">
        <is>
          <t>2 x 6 1 PT</t>
        </is>
      </c>
      <c r="C5" s="2" t="n">
        <v>2</v>
      </c>
      <c r="D5" s="2" t="n">
        <v>6</v>
      </c>
      <c r="E5" s="2" t="n">
        <v>1</v>
      </c>
      <c r="F5" s="4" t="n">
        <v>13123</v>
      </c>
      <c r="G5" s="4" t="n">
        <v>0</v>
      </c>
      <c r="H5" s="4">
        <f>F5+G5</f>
        <v/>
      </c>
      <c r="I5" s="5" t="n">
        <v>831</v>
      </c>
      <c r="J5" s="5">
        <f>H5*1.0</f>
        <v/>
      </c>
      <c r="K5" s="5">
        <f>(H5*2.0*6.0*1.0)/12</f>
        <v/>
      </c>
      <c r="L5" s="6">
        <f>(K5*I5)/1000</f>
        <v/>
      </c>
      <c r="M5" s="6">
        <f>L5*1.0</f>
        <v/>
      </c>
      <c r="N5" s="4" t="n">
        <v>0</v>
      </c>
      <c r="O5" s="2" t="inlineStr"/>
      <c r="P5" s="4">
        <f>SUM(N5:N5)</f>
        <v/>
      </c>
      <c r="Q5" s="5">
        <f>P5</f>
        <v/>
      </c>
      <c r="R5" s="5">
        <f>(P5*2.0*6.0)/12</f>
        <v/>
      </c>
      <c r="S5" s="6">
        <f>(R5*I5)/1000</f>
        <v/>
      </c>
      <c r="T5" s="6">
        <f>S5*1.0</f>
        <v/>
      </c>
      <c r="U5" s="4">
        <f>J5-Q5</f>
        <v/>
      </c>
      <c r="V5" s="5">
        <f>U5</f>
        <v/>
      </c>
      <c r="W5" s="5">
        <f>(U5*2.0*6.0)/12</f>
        <v/>
      </c>
      <c r="X5" s="6">
        <f>(W5*I5)/1000</f>
        <v/>
      </c>
      <c r="Y5" s="6">
        <f>X5*1.0</f>
        <v/>
      </c>
      <c r="Z5" s="5" t="n">
        <v>0</v>
      </c>
      <c r="AA5" s="5">
        <f>Q5-Z5</f>
        <v/>
      </c>
      <c r="AB5" s="6">
        <f>((AA5*2.0*6.0)/12*I5)/1000</f>
        <v/>
      </c>
    </row>
    <row r="6">
      <c r="A6" s="2" t="inlineStr">
        <is>
          <t>Lumber</t>
        </is>
      </c>
      <c r="B6" s="3" t="inlineStr">
        <is>
          <t>2 x 6 1 PT</t>
        </is>
      </c>
      <c r="C6" s="2" t="n">
        <v>2</v>
      </c>
      <c r="D6" s="2" t="n">
        <v>6</v>
      </c>
      <c r="E6" s="2" t="n">
        <v>1</v>
      </c>
      <c r="F6" s="4" t="n">
        <v>297</v>
      </c>
      <c r="G6" s="4" t="n">
        <v>0</v>
      </c>
      <c r="H6" s="4">
        <f>F6+G6</f>
        <v/>
      </c>
      <c r="I6" s="5" t="n">
        <v>831</v>
      </c>
      <c r="J6" s="5">
        <f>H6*1.0</f>
        <v/>
      </c>
      <c r="K6" s="5">
        <f>(H6*2.0*6.0*1.0)/12</f>
        <v/>
      </c>
      <c r="L6" s="6">
        <f>(K6*I6)/1000</f>
        <v/>
      </c>
      <c r="M6" s="6">
        <f>L6*1.0</f>
        <v/>
      </c>
      <c r="N6" s="4" t="n">
        <v>0</v>
      </c>
      <c r="O6" s="2" t="inlineStr"/>
      <c r="P6" s="4">
        <f>SUM(N6:N6)</f>
        <v/>
      </c>
      <c r="Q6" s="5">
        <f>P6</f>
        <v/>
      </c>
      <c r="R6" s="5">
        <f>(P6*2.0*6.0)/12</f>
        <v/>
      </c>
      <c r="S6" s="6">
        <f>(R6*I6)/1000</f>
        <v/>
      </c>
      <c r="T6" s="6">
        <f>S6*1.0</f>
        <v/>
      </c>
      <c r="U6" s="4">
        <f>J6-Q6</f>
        <v/>
      </c>
      <c r="V6" s="5">
        <f>U6</f>
        <v/>
      </c>
      <c r="W6" s="5">
        <f>(U6*2.0*6.0)/12</f>
        <v/>
      </c>
      <c r="X6" s="6">
        <f>(W6*I6)/1000</f>
        <v/>
      </c>
      <c r="Y6" s="6">
        <f>X6*1.0</f>
        <v/>
      </c>
      <c r="Z6" s="5" t="n">
        <v>0</v>
      </c>
      <c r="AA6" s="5">
        <f>Q6-Z6</f>
        <v/>
      </c>
      <c r="AB6" s="6">
        <f>((AA6*2.0*6.0)/12*I6)/1000</f>
        <v/>
      </c>
    </row>
    <row r="7">
      <c r="A7" s="2" t="inlineStr">
        <is>
          <t>Lumber</t>
        </is>
      </c>
      <c r="B7" s="3" t="inlineStr">
        <is>
          <t>2 x 6 8 PT</t>
        </is>
      </c>
      <c r="C7" s="2" t="n">
        <v>2</v>
      </c>
      <c r="D7" s="2" t="n">
        <v>6</v>
      </c>
      <c r="E7" s="2" t="n">
        <v>8</v>
      </c>
      <c r="F7" s="4" t="n">
        <v>78</v>
      </c>
      <c r="G7" s="4" t="n">
        <v>0</v>
      </c>
      <c r="H7" s="4">
        <f>F7+G7</f>
        <v/>
      </c>
      <c r="I7" s="5" t="n">
        <v>831</v>
      </c>
      <c r="J7" s="5">
        <f>H7*8.0</f>
        <v/>
      </c>
      <c r="K7" s="5">
        <f>(H7*2.0*6.0*8.0)/12</f>
        <v/>
      </c>
      <c r="L7" s="6">
        <f>(K7*I7)/1000</f>
        <v/>
      </c>
      <c r="M7" s="6">
        <f>L7*1.0</f>
        <v/>
      </c>
      <c r="N7" s="4" t="n">
        <v>0</v>
      </c>
      <c r="O7" s="2" t="inlineStr"/>
      <c r="P7" s="4">
        <f>SUM(N7:N7)</f>
        <v/>
      </c>
      <c r="Q7" s="5">
        <f>P7*8.0</f>
        <v/>
      </c>
      <c r="R7" s="5">
        <f>(P7*2.0*6.0*8.0)/12</f>
        <v/>
      </c>
      <c r="S7" s="6">
        <f>(R7*I7)/1000</f>
        <v/>
      </c>
      <c r="T7" s="6">
        <f>S7*1.0</f>
        <v/>
      </c>
      <c r="U7" s="4">
        <f>H7-P7</f>
        <v/>
      </c>
      <c r="V7" s="5">
        <f>U7*8.0</f>
        <v/>
      </c>
      <c r="W7" s="5">
        <f>(U7*2.0*6.0*8.0)/12</f>
        <v/>
      </c>
      <c r="X7" s="6">
        <f>(W7*I7)/1000</f>
        <v/>
      </c>
      <c r="Y7" s="6">
        <f>X7*1.0</f>
        <v/>
      </c>
      <c r="Z7" s="5" t="n">
        <v>0</v>
      </c>
      <c r="AA7" s="5">
        <f>Q7-Z7</f>
        <v/>
      </c>
      <c r="AB7" s="6">
        <f>((AA7*2.0*6.0)/12*I7)/1000</f>
        <v/>
      </c>
    </row>
    <row r="8">
      <c r="A8" s="2" t="inlineStr">
        <is>
          <t>Lumber</t>
        </is>
      </c>
      <c r="B8" s="3" t="inlineStr">
        <is>
          <t>2 x 6 10 PT</t>
        </is>
      </c>
      <c r="C8" s="2" t="n">
        <v>2</v>
      </c>
      <c r="D8" s="2" t="n">
        <v>6</v>
      </c>
      <c r="E8" s="2" t="n">
        <v>10</v>
      </c>
      <c r="F8" s="4" t="n">
        <v>91</v>
      </c>
      <c r="G8" s="4" t="n">
        <v>0</v>
      </c>
      <c r="H8" s="4">
        <f>F8+G8</f>
        <v/>
      </c>
      <c r="I8" s="5" t="n">
        <v>831</v>
      </c>
      <c r="J8" s="5">
        <f>H8*10.0</f>
        <v/>
      </c>
      <c r="K8" s="5">
        <f>(H8*2.0*6.0*10.0)/12</f>
        <v/>
      </c>
      <c r="L8" s="6">
        <f>(K8*I8)/1000</f>
        <v/>
      </c>
      <c r="M8" s="6">
        <f>L8*1.0</f>
        <v/>
      </c>
      <c r="N8" s="4" t="n">
        <v>0</v>
      </c>
      <c r="O8" s="2" t="inlineStr"/>
      <c r="P8" s="4">
        <f>SUM(N8:N8)</f>
        <v/>
      </c>
      <c r="Q8" s="5">
        <f>P8*10.0</f>
        <v/>
      </c>
      <c r="R8" s="5">
        <f>(P8*2.0*6.0*10.0)/12</f>
        <v/>
      </c>
      <c r="S8" s="6">
        <f>(R8*I8)/1000</f>
        <v/>
      </c>
      <c r="T8" s="6">
        <f>S8*1.0</f>
        <v/>
      </c>
      <c r="U8" s="4">
        <f>H8-P8</f>
        <v/>
      </c>
      <c r="V8" s="5">
        <f>U8*10.0</f>
        <v/>
      </c>
      <c r="W8" s="5">
        <f>(U8*2.0*6.0*10.0)/12</f>
        <v/>
      </c>
      <c r="X8" s="6">
        <f>(W8*I8)/1000</f>
        <v/>
      </c>
      <c r="Y8" s="6">
        <f>X8*1.0</f>
        <v/>
      </c>
      <c r="Z8" s="5" t="n">
        <v>0</v>
      </c>
      <c r="AA8" s="5">
        <f>Q8-Z8</f>
        <v/>
      </c>
      <c r="AB8" s="6">
        <f>((AA8*2.0*6.0)/12*I8)/1000</f>
        <v/>
      </c>
    </row>
    <row r="9">
      <c r="A9" s="2" t="inlineStr">
        <is>
          <t>Lumber</t>
        </is>
      </c>
      <c r="B9" s="3" t="inlineStr">
        <is>
          <t>2 x 6 12 PT</t>
        </is>
      </c>
      <c r="C9" s="2" t="n">
        <v>2</v>
      </c>
      <c r="D9" s="2" t="n">
        <v>6</v>
      </c>
      <c r="E9" s="2" t="n">
        <v>12</v>
      </c>
      <c r="F9" s="4" t="n">
        <v>564</v>
      </c>
      <c r="G9" s="4" t="n">
        <v>0</v>
      </c>
      <c r="H9" s="4">
        <f>F9+G9</f>
        <v/>
      </c>
      <c r="I9" s="5" t="n">
        <v>831</v>
      </c>
      <c r="J9" s="5">
        <f>H9*12.0</f>
        <v/>
      </c>
      <c r="K9" s="5">
        <f>(H9*2.0*6.0*12.0)/12</f>
        <v/>
      </c>
      <c r="L9" s="6">
        <f>(K9*I9)/1000</f>
        <v/>
      </c>
      <c r="M9" s="6">
        <f>L9*1.0</f>
        <v/>
      </c>
      <c r="N9" s="4" t="n">
        <v>0</v>
      </c>
      <c r="O9" s="2" t="inlineStr"/>
      <c r="P9" s="4">
        <f>SUM(N9:N9)</f>
        <v/>
      </c>
      <c r="Q9" s="5">
        <f>P9*12.0</f>
        <v/>
      </c>
      <c r="R9" s="5">
        <f>(P9*2.0*6.0*12.0)/12</f>
        <v/>
      </c>
      <c r="S9" s="6">
        <f>(R9*I9)/1000</f>
        <v/>
      </c>
      <c r="T9" s="6">
        <f>S9*1.0</f>
        <v/>
      </c>
      <c r="U9" s="4">
        <f>H9-P9</f>
        <v/>
      </c>
      <c r="V9" s="5">
        <f>U9*12.0</f>
        <v/>
      </c>
      <c r="W9" s="5">
        <f>(U9*2.0*6.0*12.0)/12</f>
        <v/>
      </c>
      <c r="X9" s="6">
        <f>(W9*I9)/1000</f>
        <v/>
      </c>
      <c r="Y9" s="6">
        <f>X9*1.0</f>
        <v/>
      </c>
      <c r="Z9" s="5" t="n">
        <v>0</v>
      </c>
      <c r="AA9" s="5">
        <f>Q9-Z9</f>
        <v/>
      </c>
      <c r="AB9" s="6">
        <f>((AA9*2.0*6.0)/12*I9)/1000</f>
        <v/>
      </c>
    </row>
    <row r="10">
      <c r="A10" s="2" t="inlineStr">
        <is>
          <t>Lumber</t>
        </is>
      </c>
      <c r="B10" s="3" t="inlineStr">
        <is>
          <t>2 x 8 1 PT</t>
        </is>
      </c>
      <c r="C10" s="2" t="n">
        <v>2</v>
      </c>
      <c r="D10" s="2" t="n">
        <v>8</v>
      </c>
      <c r="E10" s="2" t="n">
        <v>1</v>
      </c>
      <c r="F10" s="4" t="n">
        <v>229</v>
      </c>
      <c r="G10" s="4" t="n">
        <v>0</v>
      </c>
      <c r="H10" s="4">
        <f>F10+G10</f>
        <v/>
      </c>
      <c r="I10" s="5" t="n">
        <v>710</v>
      </c>
      <c r="J10" s="5">
        <f>H10*1.0</f>
        <v/>
      </c>
      <c r="K10" s="5">
        <f>(H10*2.0*8.0*1.0)/12</f>
        <v/>
      </c>
      <c r="L10" s="6">
        <f>(K10*I10)/1000</f>
        <v/>
      </c>
      <c r="M10" s="6">
        <f>L10*1.0</f>
        <v/>
      </c>
      <c r="N10" s="4" t="n">
        <v>0</v>
      </c>
      <c r="O10" s="2" t="inlineStr"/>
      <c r="P10" s="4">
        <f>SUM(N10:N10)</f>
        <v/>
      </c>
      <c r="Q10" s="5">
        <f>P10</f>
        <v/>
      </c>
      <c r="R10" s="5">
        <f>(P10*2.0*8.0)/12</f>
        <v/>
      </c>
      <c r="S10" s="6">
        <f>(R10*I10)/1000</f>
        <v/>
      </c>
      <c r="T10" s="6">
        <f>S10*1.0</f>
        <v/>
      </c>
      <c r="U10" s="4">
        <f>J10-Q10</f>
        <v/>
      </c>
      <c r="V10" s="5">
        <f>U10</f>
        <v/>
      </c>
      <c r="W10" s="5">
        <f>(U10*2.0*8.0)/12</f>
        <v/>
      </c>
      <c r="X10" s="6">
        <f>(W10*I10)/1000</f>
        <v/>
      </c>
      <c r="Y10" s="6">
        <f>X10*1.0</f>
        <v/>
      </c>
      <c r="Z10" s="5" t="n">
        <v>0</v>
      </c>
      <c r="AA10" s="5">
        <f>Q10-Z10</f>
        <v/>
      </c>
      <c r="AB10" s="6">
        <f>((AA10*2.0*8.0)/12*I10)/1000</f>
        <v/>
      </c>
    </row>
    <row r="11">
      <c r="A11" s="2" t="inlineStr">
        <is>
          <t>Lumber</t>
        </is>
      </c>
      <c r="B11" s="3" t="inlineStr">
        <is>
          <t>2 x 8 12 PT</t>
        </is>
      </c>
      <c r="C11" s="2" t="n">
        <v>2</v>
      </c>
      <c r="D11" s="2" t="n">
        <v>8</v>
      </c>
      <c r="E11" s="2" t="n">
        <v>12</v>
      </c>
      <c r="F11" s="4" t="n">
        <v>1344</v>
      </c>
      <c r="G11" s="4" t="n">
        <v>0</v>
      </c>
      <c r="H11" s="4">
        <f>F11+G11</f>
        <v/>
      </c>
      <c r="I11" s="5" t="n">
        <v>710</v>
      </c>
      <c r="J11" s="5">
        <f>H11*12.0</f>
        <v/>
      </c>
      <c r="K11" s="5">
        <f>(H11*2.0*8.0*12.0)/12</f>
        <v/>
      </c>
      <c r="L11" s="6">
        <f>(K11*I11)/1000</f>
        <v/>
      </c>
      <c r="M11" s="6">
        <f>L11*1.0</f>
        <v/>
      </c>
      <c r="N11" s="4" t="n">
        <v>0</v>
      </c>
      <c r="O11" s="2" t="inlineStr"/>
      <c r="P11" s="4">
        <f>SUM(N11:N11)</f>
        <v/>
      </c>
      <c r="Q11" s="5">
        <f>P11*12.0</f>
        <v/>
      </c>
      <c r="R11" s="5">
        <f>(P11*2.0*8.0*12.0)/12</f>
        <v/>
      </c>
      <c r="S11" s="6">
        <f>(R11*I11)/1000</f>
        <v/>
      </c>
      <c r="T11" s="6">
        <f>S11*1.0</f>
        <v/>
      </c>
      <c r="U11" s="4">
        <f>H11-P11</f>
        <v/>
      </c>
      <c r="V11" s="5">
        <f>U11*12.0</f>
        <v/>
      </c>
      <c r="W11" s="5">
        <f>(U11*2.0*8.0*12.0)/12</f>
        <v/>
      </c>
      <c r="X11" s="6">
        <f>(W11*I11)/1000</f>
        <v/>
      </c>
      <c r="Y11" s="6">
        <f>X11*1.0</f>
        <v/>
      </c>
      <c r="Z11" s="5" t="n">
        <v>0</v>
      </c>
      <c r="AA11" s="5">
        <f>Q11-Z11</f>
        <v/>
      </c>
      <c r="AB11" s="6">
        <f>((AA11*2.0*8.0)/12*I11)/1000</f>
        <v/>
      </c>
    </row>
    <row r="12">
      <c r="A12" s="2" t="inlineStr">
        <is>
          <t>Lumber</t>
        </is>
      </c>
      <c r="B12" s="3" t="inlineStr">
        <is>
          <t>2 x 10 1 PT</t>
        </is>
      </c>
      <c r="C12" s="2" t="n">
        <v>2</v>
      </c>
      <c r="D12" s="2" t="n">
        <v>10</v>
      </c>
      <c r="E12" s="2" t="n">
        <v>1</v>
      </c>
      <c r="F12" s="4" t="n">
        <v>3423</v>
      </c>
      <c r="G12" s="4" t="n">
        <v>0</v>
      </c>
      <c r="H12" s="4">
        <f>F12+G12</f>
        <v/>
      </c>
      <c r="I12" s="5" t="n">
        <v>845</v>
      </c>
      <c r="J12" s="5">
        <f>H12*1.0</f>
        <v/>
      </c>
      <c r="K12" s="5">
        <f>(H12*2.0*10.0*1.0)/12</f>
        <v/>
      </c>
      <c r="L12" s="6">
        <f>(K12*I12)/1000</f>
        <v/>
      </c>
      <c r="M12" s="6">
        <f>L12*1.0</f>
        <v/>
      </c>
      <c r="N12" s="4" t="n">
        <v>0</v>
      </c>
      <c r="O12" s="2" t="inlineStr"/>
      <c r="P12" s="4">
        <f>SUM(N12:N12)</f>
        <v/>
      </c>
      <c r="Q12" s="5">
        <f>P12</f>
        <v/>
      </c>
      <c r="R12" s="5">
        <f>(P12*2.0*10.0)/12</f>
        <v/>
      </c>
      <c r="S12" s="6">
        <f>(R12*I12)/1000</f>
        <v/>
      </c>
      <c r="T12" s="6">
        <f>S12*1.0</f>
        <v/>
      </c>
      <c r="U12" s="4">
        <f>J12-Q12</f>
        <v/>
      </c>
      <c r="V12" s="5">
        <f>U12</f>
        <v/>
      </c>
      <c r="W12" s="5">
        <f>(U12*2.0*10.0)/12</f>
        <v/>
      </c>
      <c r="X12" s="6">
        <f>(W12*I12)/1000</f>
        <v/>
      </c>
      <c r="Y12" s="6">
        <f>X12*1.0</f>
        <v/>
      </c>
      <c r="Z12" s="5" t="n">
        <v>0</v>
      </c>
      <c r="AA12" s="5">
        <f>Q12-Z12</f>
        <v/>
      </c>
      <c r="AB12" s="6">
        <f>((AA12*2.0*10.0)/12*I12)/1000</f>
        <v/>
      </c>
    </row>
    <row r="13">
      <c r="A13" s="2" t="inlineStr">
        <is>
          <t>Lumber</t>
        </is>
      </c>
      <c r="B13" s="3" t="inlineStr">
        <is>
          <t>2 x 12 1 PT</t>
        </is>
      </c>
      <c r="C13" s="2" t="n">
        <v>2</v>
      </c>
      <c r="D13" s="2" t="n">
        <v>12</v>
      </c>
      <c r="E13" s="2" t="n">
        <v>1</v>
      </c>
      <c r="F13" s="4" t="n">
        <v>174</v>
      </c>
      <c r="G13" s="4" t="n">
        <v>0</v>
      </c>
      <c r="H13" s="4">
        <f>F13+G13</f>
        <v/>
      </c>
      <c r="I13" s="5" t="n">
        <v>1300</v>
      </c>
      <c r="J13" s="5">
        <f>H13*1.0</f>
        <v/>
      </c>
      <c r="K13" s="5">
        <f>(H13*2.0*12.0*1.0)/12</f>
        <v/>
      </c>
      <c r="L13" s="6">
        <f>(K13*I13)/1000</f>
        <v/>
      </c>
      <c r="M13" s="6">
        <f>L13*1.0</f>
        <v/>
      </c>
      <c r="N13" s="4" t="n">
        <v>0</v>
      </c>
      <c r="O13" s="2" t="inlineStr"/>
      <c r="P13" s="4">
        <f>SUM(N13:N13)</f>
        <v/>
      </c>
      <c r="Q13" s="5">
        <f>P13</f>
        <v/>
      </c>
      <c r="R13" s="5">
        <f>(P13*2.0*12.0)/12</f>
        <v/>
      </c>
      <c r="S13" s="6">
        <f>(R13*I13)/1000</f>
        <v/>
      </c>
      <c r="T13" s="6">
        <f>S13*1.0</f>
        <v/>
      </c>
      <c r="U13" s="4">
        <f>J13-Q13</f>
        <v/>
      </c>
      <c r="V13" s="5">
        <f>U13</f>
        <v/>
      </c>
      <c r="W13" s="5">
        <f>(U13*2.0*12.0)/12</f>
        <v/>
      </c>
      <c r="X13" s="6">
        <f>(W13*I13)/1000</f>
        <v/>
      </c>
      <c r="Y13" s="6">
        <f>X13*1.0</f>
        <v/>
      </c>
      <c r="Z13" s="5" t="n">
        <v>0</v>
      </c>
      <c r="AA13" s="5">
        <f>Q13-Z13</f>
        <v/>
      </c>
      <c r="AB13" s="6">
        <f>((AA13*2.0*12.0)/12*I13)/1000</f>
        <v/>
      </c>
    </row>
    <row r="14">
      <c r="A14" s="2" t="inlineStr">
        <is>
          <t>Lumber</t>
        </is>
      </c>
      <c r="B14" s="3" t="inlineStr">
        <is>
          <t>2 x 12 8 PT</t>
        </is>
      </c>
      <c r="C14" s="2" t="n">
        <v>2</v>
      </c>
      <c r="D14" s="2" t="n">
        <v>12</v>
      </c>
      <c r="E14" s="2" t="n">
        <v>8</v>
      </c>
      <c r="F14" s="4" t="n">
        <v>60</v>
      </c>
      <c r="G14" s="4" t="n">
        <v>0</v>
      </c>
      <c r="H14" s="4">
        <f>F14+G14</f>
        <v/>
      </c>
      <c r="I14" s="5" t="n">
        <v>1300</v>
      </c>
      <c r="J14" s="5">
        <f>H14*8.0</f>
        <v/>
      </c>
      <c r="K14" s="5">
        <f>(H14*2.0*12.0*8.0)/12</f>
        <v/>
      </c>
      <c r="L14" s="6">
        <f>(K14*I14)/1000</f>
        <v/>
      </c>
      <c r="M14" s="6">
        <f>L14*1.0</f>
        <v/>
      </c>
      <c r="N14" s="4" t="n">
        <v>0</v>
      </c>
      <c r="O14" s="2" t="inlineStr"/>
      <c r="P14" s="4">
        <f>SUM(N14:N14)</f>
        <v/>
      </c>
      <c r="Q14" s="5">
        <f>P14*8.0</f>
        <v/>
      </c>
      <c r="R14" s="5">
        <f>(P14*2.0*12.0*8.0)/12</f>
        <v/>
      </c>
      <c r="S14" s="6">
        <f>(R14*I14)/1000</f>
        <v/>
      </c>
      <c r="T14" s="6">
        <f>S14*1.0</f>
        <v/>
      </c>
      <c r="U14" s="4">
        <f>H14-P14</f>
        <v/>
      </c>
      <c r="V14" s="5">
        <f>U14*8.0</f>
        <v/>
      </c>
      <c r="W14" s="5">
        <f>(U14*2.0*12.0*8.0)/12</f>
        <v/>
      </c>
      <c r="X14" s="6">
        <f>(W14*I14)/1000</f>
        <v/>
      </c>
      <c r="Y14" s="6">
        <f>X14*1.0</f>
        <v/>
      </c>
      <c r="Z14" s="5" t="n">
        <v>0</v>
      </c>
      <c r="AA14" s="5">
        <f>Q14-Z14</f>
        <v/>
      </c>
      <c r="AB14" s="6">
        <f>((AA14*2.0*12.0)/12*I14)/1000</f>
        <v/>
      </c>
    </row>
    <row r="15">
      <c r="A15" s="2" t="inlineStr">
        <is>
          <t>Lumber</t>
        </is>
      </c>
      <c r="B15" s="3" t="inlineStr">
        <is>
          <t>2 x 12 8 PT</t>
        </is>
      </c>
      <c r="C15" s="2" t="n">
        <v>2</v>
      </c>
      <c r="D15" s="2" t="n">
        <v>12</v>
      </c>
      <c r="E15" s="2" t="n">
        <v>8</v>
      </c>
      <c r="F15" s="4" t="n">
        <v>138</v>
      </c>
      <c r="G15" s="4" t="n">
        <v>0</v>
      </c>
      <c r="H15" s="4">
        <f>F15+G15</f>
        <v/>
      </c>
      <c r="I15" s="5" t="n">
        <v>1300</v>
      </c>
      <c r="J15" s="5">
        <f>H15*8.0</f>
        <v/>
      </c>
      <c r="K15" s="5">
        <f>(H15*2.0*12.0*8.0)/12</f>
        <v/>
      </c>
      <c r="L15" s="6">
        <f>(K15*I15)/1000</f>
        <v/>
      </c>
      <c r="M15" s="6">
        <f>L15*1.0</f>
        <v/>
      </c>
      <c r="N15" s="4" t="n">
        <v>0</v>
      </c>
      <c r="O15" s="2" t="inlineStr"/>
      <c r="P15" s="4">
        <f>SUM(N15:N15)</f>
        <v/>
      </c>
      <c r="Q15" s="5">
        <f>P15*8.0</f>
        <v/>
      </c>
      <c r="R15" s="5">
        <f>(P15*2.0*12.0*8.0)/12</f>
        <v/>
      </c>
      <c r="S15" s="6">
        <f>(R15*I15)/1000</f>
        <v/>
      </c>
      <c r="T15" s="6">
        <f>S15*1.0</f>
        <v/>
      </c>
      <c r="U15" s="4">
        <f>H15-P15</f>
        <v/>
      </c>
      <c r="V15" s="5">
        <f>U15*8.0</f>
        <v/>
      </c>
      <c r="W15" s="5">
        <f>(U15*2.0*12.0*8.0)/12</f>
        <v/>
      </c>
      <c r="X15" s="6">
        <f>(W15*I15)/1000</f>
        <v/>
      </c>
      <c r="Y15" s="6">
        <f>X15*1.0</f>
        <v/>
      </c>
      <c r="Z15" s="5" t="n">
        <v>0</v>
      </c>
      <c r="AA15" s="5">
        <f>Q15-Z15</f>
        <v/>
      </c>
      <c r="AB15" s="6">
        <f>((AA15*2.0*12.0)/12*I15)/1000</f>
        <v/>
      </c>
    </row>
    <row r="16">
      <c r="A16" s="2" t="inlineStr">
        <is>
          <t>Lumber</t>
        </is>
      </c>
      <c r="B16" s="3" t="inlineStr">
        <is>
          <t>2 x 12 10 PT</t>
        </is>
      </c>
      <c r="C16" s="2" t="n">
        <v>2</v>
      </c>
      <c r="D16" s="2" t="n">
        <v>12</v>
      </c>
      <c r="E16" s="2" t="n">
        <v>10</v>
      </c>
      <c r="F16" s="4" t="n">
        <v>460</v>
      </c>
      <c r="G16" s="4" t="n">
        <v>0</v>
      </c>
      <c r="H16" s="4">
        <f>F16+G16</f>
        <v/>
      </c>
      <c r="I16" s="5" t="n">
        <v>1300</v>
      </c>
      <c r="J16" s="5">
        <f>H16*10.0</f>
        <v/>
      </c>
      <c r="K16" s="5">
        <f>(H16*2.0*12.0*10.0)/12</f>
        <v/>
      </c>
      <c r="L16" s="6">
        <f>(K16*I16)/1000</f>
        <v/>
      </c>
      <c r="M16" s="6">
        <f>L16*1.0</f>
        <v/>
      </c>
      <c r="N16" s="4" t="n">
        <v>0</v>
      </c>
      <c r="O16" s="2" t="inlineStr"/>
      <c r="P16" s="4">
        <f>SUM(N16:N16)</f>
        <v/>
      </c>
      <c r="Q16" s="5">
        <f>P16*10.0</f>
        <v/>
      </c>
      <c r="R16" s="5">
        <f>(P16*2.0*12.0*10.0)/12</f>
        <v/>
      </c>
      <c r="S16" s="6">
        <f>(R16*I16)/1000</f>
        <v/>
      </c>
      <c r="T16" s="6">
        <f>S16*1.0</f>
        <v/>
      </c>
      <c r="U16" s="4">
        <f>H16-P16</f>
        <v/>
      </c>
      <c r="V16" s="5">
        <f>U16*10.0</f>
        <v/>
      </c>
      <c r="W16" s="5">
        <f>(U16*2.0*12.0*10.0)/12</f>
        <v/>
      </c>
      <c r="X16" s="6">
        <f>(W16*I16)/1000</f>
        <v/>
      </c>
      <c r="Y16" s="6">
        <f>X16*1.0</f>
        <v/>
      </c>
      <c r="Z16" s="5" t="n">
        <v>0</v>
      </c>
      <c r="AA16" s="5">
        <f>Q16-Z16</f>
        <v/>
      </c>
      <c r="AB16" s="6">
        <f>((AA16*2.0*12.0)/12*I16)/1000</f>
        <v/>
      </c>
    </row>
    <row r="17">
      <c r="A17" s="2" t="inlineStr">
        <is>
          <t>Lumber</t>
        </is>
      </c>
      <c r="B17" s="3" t="inlineStr">
        <is>
          <t>2 x 12 12 PT</t>
        </is>
      </c>
      <c r="C17" s="2" t="n">
        <v>2</v>
      </c>
      <c r="D17" s="2" t="n">
        <v>12</v>
      </c>
      <c r="E17" s="2" t="n">
        <v>12</v>
      </c>
      <c r="F17" s="4" t="n">
        <v>95</v>
      </c>
      <c r="G17" s="4" t="n">
        <v>0</v>
      </c>
      <c r="H17" s="4">
        <f>F17+G17</f>
        <v/>
      </c>
      <c r="I17" s="5" t="n">
        <v>1300</v>
      </c>
      <c r="J17" s="5">
        <f>H17*12.0</f>
        <v/>
      </c>
      <c r="K17" s="5">
        <f>(H17*2.0*12.0*12.0)/12</f>
        <v/>
      </c>
      <c r="L17" s="6">
        <f>(K17*I17)/1000</f>
        <v/>
      </c>
      <c r="M17" s="6">
        <f>L17*1.0</f>
        <v/>
      </c>
      <c r="N17" s="4" t="n">
        <v>0</v>
      </c>
      <c r="O17" s="2" t="inlineStr"/>
      <c r="P17" s="4">
        <f>SUM(N17:N17)</f>
        <v/>
      </c>
      <c r="Q17" s="5">
        <f>P17*12.0</f>
        <v/>
      </c>
      <c r="R17" s="5">
        <f>(P17*2.0*12.0*12.0)/12</f>
        <v/>
      </c>
      <c r="S17" s="6">
        <f>(R17*I17)/1000</f>
        <v/>
      </c>
      <c r="T17" s="6">
        <f>S17*1.0</f>
        <v/>
      </c>
      <c r="U17" s="4">
        <f>H17-P17</f>
        <v/>
      </c>
      <c r="V17" s="5">
        <f>U17*12.0</f>
        <v/>
      </c>
      <c r="W17" s="5">
        <f>(U17*2.0*12.0*12.0)/12</f>
        <v/>
      </c>
      <c r="X17" s="6">
        <f>(W17*I17)/1000</f>
        <v/>
      </c>
      <c r="Y17" s="6">
        <f>X17*1.0</f>
        <v/>
      </c>
      <c r="Z17" s="5" t="n">
        <v>0</v>
      </c>
      <c r="AA17" s="5">
        <f>Q17-Z17</f>
        <v/>
      </c>
      <c r="AB17" s="6">
        <f>((AA17*2.0*12.0)/12*I17)/1000</f>
        <v/>
      </c>
    </row>
    <row r="18">
      <c r="A18" s="2" t="inlineStr">
        <is>
          <t>Lumber</t>
        </is>
      </c>
      <c r="B18" s="3" t="inlineStr">
        <is>
          <t>2 x 12 12 PT</t>
        </is>
      </c>
      <c r="C18" s="2" t="n">
        <v>2</v>
      </c>
      <c r="D18" s="2" t="n">
        <v>12</v>
      </c>
      <c r="E18" s="2" t="n">
        <v>12</v>
      </c>
      <c r="F18" s="4" t="n">
        <v>264</v>
      </c>
      <c r="G18" s="4" t="n">
        <v>0</v>
      </c>
      <c r="H18" s="4">
        <f>F18+G18</f>
        <v/>
      </c>
      <c r="I18" s="5" t="n">
        <v>1300</v>
      </c>
      <c r="J18" s="5">
        <f>H18*12.0</f>
        <v/>
      </c>
      <c r="K18" s="5">
        <f>(H18*2.0*12.0*12.0)/12</f>
        <v/>
      </c>
      <c r="L18" s="6">
        <f>(K18*I18)/1000</f>
        <v/>
      </c>
      <c r="M18" s="6">
        <f>L18*1.0</f>
        <v/>
      </c>
      <c r="N18" s="4" t="n">
        <v>0</v>
      </c>
      <c r="O18" s="2" t="inlineStr"/>
      <c r="P18" s="4">
        <f>SUM(N18:N18)</f>
        <v/>
      </c>
      <c r="Q18" s="5">
        <f>P18*12.0</f>
        <v/>
      </c>
      <c r="R18" s="5">
        <f>(P18*2.0*12.0*12.0)/12</f>
        <v/>
      </c>
      <c r="S18" s="6">
        <f>(R18*I18)/1000</f>
        <v/>
      </c>
      <c r="T18" s="6">
        <f>S18*1.0</f>
        <v/>
      </c>
      <c r="U18" s="4">
        <f>H18-P18</f>
        <v/>
      </c>
      <c r="V18" s="5">
        <f>U18*12.0</f>
        <v/>
      </c>
      <c r="W18" s="5">
        <f>(U18*2.0*12.0*12.0)/12</f>
        <v/>
      </c>
      <c r="X18" s="6">
        <f>(W18*I18)/1000</f>
        <v/>
      </c>
      <c r="Y18" s="6">
        <f>X18*1.0</f>
        <v/>
      </c>
      <c r="Z18" s="5" t="n">
        <v>0</v>
      </c>
      <c r="AA18" s="5">
        <f>Q18-Z18</f>
        <v/>
      </c>
      <c r="AB18" s="6">
        <f>((AA18*2.0*12.0)/12*I18)/1000</f>
        <v/>
      </c>
    </row>
    <row r="19">
      <c r="A19" s="2" t="inlineStr">
        <is>
          <t>Lumber</t>
        </is>
      </c>
      <c r="B19" s="3" t="inlineStr">
        <is>
          <t>2 x 12 14 PT</t>
        </is>
      </c>
      <c r="C19" s="2" t="n">
        <v>2</v>
      </c>
      <c r="D19" s="2" t="n">
        <v>12</v>
      </c>
      <c r="E19" s="2" t="n">
        <v>14</v>
      </c>
      <c r="F19" s="4" t="n">
        <v>38</v>
      </c>
      <c r="G19" s="4" t="n">
        <v>0</v>
      </c>
      <c r="H19" s="4">
        <f>F19+G19</f>
        <v/>
      </c>
      <c r="I19" s="5" t="n">
        <v>1300</v>
      </c>
      <c r="J19" s="5">
        <f>H19*14.0</f>
        <v/>
      </c>
      <c r="K19" s="5">
        <f>(H19*2.0*12.0*14.0)/12</f>
        <v/>
      </c>
      <c r="L19" s="6">
        <f>(K19*I19)/1000</f>
        <v/>
      </c>
      <c r="M19" s="6">
        <f>L19*1.0</f>
        <v/>
      </c>
      <c r="N19" s="4" t="n">
        <v>0</v>
      </c>
      <c r="O19" s="2" t="inlineStr"/>
      <c r="P19" s="4">
        <f>SUM(N19:N19)</f>
        <v/>
      </c>
      <c r="Q19" s="5">
        <f>P19*14.0</f>
        <v/>
      </c>
      <c r="R19" s="5">
        <f>(P19*2.0*12.0*14.0)/12</f>
        <v/>
      </c>
      <c r="S19" s="6">
        <f>(R19*I19)/1000</f>
        <v/>
      </c>
      <c r="T19" s="6">
        <f>S19*1.0</f>
        <v/>
      </c>
      <c r="U19" s="4">
        <f>H19-P19</f>
        <v/>
      </c>
      <c r="V19" s="5">
        <f>U19*14.0</f>
        <v/>
      </c>
      <c r="W19" s="5">
        <f>(U19*2.0*12.0*14.0)/12</f>
        <v/>
      </c>
      <c r="X19" s="6">
        <f>(W19*I19)/1000</f>
        <v/>
      </c>
      <c r="Y19" s="6">
        <f>X19*1.0</f>
        <v/>
      </c>
      <c r="Z19" s="5" t="n">
        <v>0</v>
      </c>
      <c r="AA19" s="5">
        <f>Q19-Z19</f>
        <v/>
      </c>
      <c r="AB19" s="6">
        <f>((AA19*2.0*12.0)/12*I19)/1000</f>
        <v/>
      </c>
    </row>
    <row r="20">
      <c r="A20" s="2" t="inlineStr">
        <is>
          <t>Lumber</t>
        </is>
      </c>
      <c r="B20" s="3" t="inlineStr">
        <is>
          <t>2 x 12 16 PT</t>
        </is>
      </c>
      <c r="C20" s="2" t="n">
        <v>2</v>
      </c>
      <c r="D20" s="2" t="n">
        <v>12</v>
      </c>
      <c r="E20" s="2" t="n">
        <v>16</v>
      </c>
      <c r="F20" s="4" t="n">
        <v>290</v>
      </c>
      <c r="G20" s="4" t="n">
        <v>0</v>
      </c>
      <c r="H20" s="4">
        <f>F20+G20</f>
        <v/>
      </c>
      <c r="I20" s="5" t="n">
        <v>1300</v>
      </c>
      <c r="J20" s="5">
        <f>H20*16.0</f>
        <v/>
      </c>
      <c r="K20" s="5">
        <f>(H20*2.0*12.0*16.0)/12</f>
        <v/>
      </c>
      <c r="L20" s="6">
        <f>(K20*I20)/1000</f>
        <v/>
      </c>
      <c r="M20" s="6">
        <f>L20*1.0</f>
        <v/>
      </c>
      <c r="N20" s="4" t="n">
        <v>0</v>
      </c>
      <c r="O20" s="2" t="inlineStr"/>
      <c r="P20" s="4">
        <f>SUM(N20:N20)</f>
        <v/>
      </c>
      <c r="Q20" s="5">
        <f>P20*16.0</f>
        <v/>
      </c>
      <c r="R20" s="5">
        <f>(P20*2.0*12.0*16.0)/12</f>
        <v/>
      </c>
      <c r="S20" s="6">
        <f>(R20*I20)/1000</f>
        <v/>
      </c>
      <c r="T20" s="6">
        <f>S20*1.0</f>
        <v/>
      </c>
      <c r="U20" s="4">
        <f>H20-P20</f>
        <v/>
      </c>
      <c r="V20" s="5">
        <f>U20*16.0</f>
        <v/>
      </c>
      <c r="W20" s="5">
        <f>(U20*2.0*12.0*16.0)/12</f>
        <v/>
      </c>
      <c r="X20" s="6">
        <f>(W20*I20)/1000</f>
        <v/>
      </c>
      <c r="Y20" s="6">
        <f>X20*1.0</f>
        <v/>
      </c>
      <c r="Z20" s="5" t="n">
        <v>0</v>
      </c>
      <c r="AA20" s="5">
        <f>Q20-Z20</f>
        <v/>
      </c>
      <c r="AB20" s="6">
        <f>((AA20*2.0*12.0)/12*I20)/1000</f>
        <v/>
      </c>
    </row>
    <row r="21">
      <c r="A21" s="2" t="inlineStr">
        <is>
          <t>Lumber</t>
        </is>
      </c>
      <c r="B21" s="3" t="inlineStr">
        <is>
          <t>1 x 4 1 DFL#2</t>
        </is>
      </c>
      <c r="C21" s="2" t="n">
        <v>1</v>
      </c>
      <c r="D21" s="2" t="n">
        <v>4</v>
      </c>
      <c r="E21" s="2" t="n">
        <v>1</v>
      </c>
      <c r="F21" s="4" t="n">
        <v>40102</v>
      </c>
      <c r="G21" s="4" t="n">
        <v>0</v>
      </c>
      <c r="H21" s="4">
        <f>F21+G21</f>
        <v/>
      </c>
      <c r="I21" s="5" t="n">
        <v>1100</v>
      </c>
      <c r="J21" s="5">
        <f>H21*1.0</f>
        <v/>
      </c>
      <c r="K21" s="5">
        <f>(H21*1.0*4.0*1.0)/12</f>
        <v/>
      </c>
      <c r="L21" s="6">
        <f>(K21*I21)/1000</f>
        <v/>
      </c>
      <c r="M21" s="6">
        <f>L21*1.0</f>
        <v/>
      </c>
      <c r="N21" s="4" t="n">
        <v>0</v>
      </c>
      <c r="O21" s="2" t="inlineStr"/>
      <c r="P21" s="4">
        <f>SUM(N21:N21)</f>
        <v/>
      </c>
      <c r="Q21" s="5">
        <f>P21</f>
        <v/>
      </c>
      <c r="R21" s="5">
        <f>(P21*1.0*4.0)/12</f>
        <v/>
      </c>
      <c r="S21" s="6">
        <f>(R21*I21)/1000</f>
        <v/>
      </c>
      <c r="T21" s="6">
        <f>S21*1.0</f>
        <v/>
      </c>
      <c r="U21" s="4">
        <f>J21-Q21</f>
        <v/>
      </c>
      <c r="V21" s="5">
        <f>U21</f>
        <v/>
      </c>
      <c r="W21" s="5">
        <f>(U21*1.0*4.0)/12</f>
        <v/>
      </c>
      <c r="X21" s="6">
        <f>(W21*I21)/1000</f>
        <v/>
      </c>
      <c r="Y21" s="6">
        <f>X21*1.0</f>
        <v/>
      </c>
      <c r="Z21" s="5" t="n">
        <v>0</v>
      </c>
      <c r="AA21" s="5">
        <f>Q21-Z21</f>
        <v/>
      </c>
      <c r="AB21" s="6">
        <f>((AA21*1.0*4.0)/12*I21)/1000</f>
        <v/>
      </c>
    </row>
    <row r="22">
      <c r="A22" s="2" t="inlineStr">
        <is>
          <t>Lumber</t>
        </is>
      </c>
      <c r="B22" s="3" t="inlineStr">
        <is>
          <t>1 x 6 1 DFL#2</t>
        </is>
      </c>
      <c r="C22" s="2" t="n">
        <v>1</v>
      </c>
      <c r="D22" s="2" t="n">
        <v>6</v>
      </c>
      <c r="E22" s="2" t="n">
        <v>1</v>
      </c>
      <c r="F22" s="4" t="n">
        <v>21847</v>
      </c>
      <c r="G22" s="4" t="n">
        <v>0</v>
      </c>
      <c r="H22" s="4">
        <f>F22+G22</f>
        <v/>
      </c>
      <c r="I22" s="5" t="n">
        <v>1100</v>
      </c>
      <c r="J22" s="5">
        <f>H22*1.0</f>
        <v/>
      </c>
      <c r="K22" s="5">
        <f>(H22*1.0*6.0*1.0)/12</f>
        <v/>
      </c>
      <c r="L22" s="6">
        <f>(K22*I22)/1000</f>
        <v/>
      </c>
      <c r="M22" s="6">
        <f>L22*1.0</f>
        <v/>
      </c>
      <c r="N22" s="4" t="n">
        <v>0</v>
      </c>
      <c r="O22" s="2" t="inlineStr"/>
      <c r="P22" s="4">
        <f>SUM(N22:N22)</f>
        <v/>
      </c>
      <c r="Q22" s="5">
        <f>P22</f>
        <v/>
      </c>
      <c r="R22" s="5">
        <f>(P22*1.0*6.0)/12</f>
        <v/>
      </c>
      <c r="S22" s="6">
        <f>(R22*I22)/1000</f>
        <v/>
      </c>
      <c r="T22" s="6">
        <f>S22*1.0</f>
        <v/>
      </c>
      <c r="U22" s="4">
        <f>J22-Q22</f>
        <v/>
      </c>
      <c r="V22" s="5">
        <f>U22</f>
        <v/>
      </c>
      <c r="W22" s="5">
        <f>(U22*1.0*6.0)/12</f>
        <v/>
      </c>
      <c r="X22" s="6">
        <f>(W22*I22)/1000</f>
        <v/>
      </c>
      <c r="Y22" s="6">
        <f>X22*1.0</f>
        <v/>
      </c>
      <c r="Z22" s="5" t="n">
        <v>0</v>
      </c>
      <c r="AA22" s="5">
        <f>Q22-Z22</f>
        <v/>
      </c>
      <c r="AB22" s="6">
        <f>((AA22*1.0*6.0)/12*I22)/1000</f>
        <v/>
      </c>
    </row>
    <row r="23">
      <c r="A23" s="2" t="inlineStr">
        <is>
          <t>Lumber</t>
        </is>
      </c>
      <c r="B23" s="3" t="inlineStr">
        <is>
          <t>1 x 8 12 DFL#2</t>
        </is>
      </c>
      <c r="C23" s="2" t="n">
        <v>1</v>
      </c>
      <c r="D23" s="2" t="n">
        <v>8</v>
      </c>
      <c r="E23" s="2" t="n">
        <v>12</v>
      </c>
      <c r="F23" s="4" t="n">
        <v>252</v>
      </c>
      <c r="G23" s="4" t="n">
        <v>0</v>
      </c>
      <c r="H23" s="4">
        <f>F23+G23</f>
        <v/>
      </c>
      <c r="I23" s="5" t="n">
        <v>1100</v>
      </c>
      <c r="J23" s="5">
        <f>H23*12.0</f>
        <v/>
      </c>
      <c r="K23" s="5">
        <f>(H23*1.0*8.0*12.0)/12</f>
        <v/>
      </c>
      <c r="L23" s="6">
        <f>(K23*I23)/1000</f>
        <v/>
      </c>
      <c r="M23" s="6">
        <f>L23*1.0</f>
        <v/>
      </c>
      <c r="N23" s="4" t="n">
        <v>0</v>
      </c>
      <c r="O23" s="2" t="inlineStr"/>
      <c r="P23" s="4">
        <f>SUM(N23:N23)</f>
        <v/>
      </c>
      <c r="Q23" s="5">
        <f>P23*12.0</f>
        <v/>
      </c>
      <c r="R23" s="5">
        <f>(P23*1.0*8.0*12.0)/12</f>
        <v/>
      </c>
      <c r="S23" s="6">
        <f>(R23*I23)/1000</f>
        <v/>
      </c>
      <c r="T23" s="6">
        <f>S23*1.0</f>
        <v/>
      </c>
      <c r="U23" s="4">
        <f>H23-P23</f>
        <v/>
      </c>
      <c r="V23" s="5">
        <f>U23*12.0</f>
        <v/>
      </c>
      <c r="W23" s="5">
        <f>(U23*1.0*8.0*12.0)/12</f>
        <v/>
      </c>
      <c r="X23" s="6">
        <f>(W23*I23)/1000</f>
        <v/>
      </c>
      <c r="Y23" s="6">
        <f>X23*1.0</f>
        <v/>
      </c>
      <c r="Z23" s="5" t="n">
        <v>0</v>
      </c>
      <c r="AA23" s="5">
        <f>Q23-Z23</f>
        <v/>
      </c>
      <c r="AB23" s="6">
        <f>((AA23*1.0*8.0)/12*I23)/1000</f>
        <v/>
      </c>
    </row>
    <row r="24">
      <c r="A24" s="2" t="inlineStr">
        <is>
          <t>Lumber</t>
        </is>
      </c>
      <c r="B24" s="3" t="inlineStr">
        <is>
          <t>2 x 4 1 DFL#2</t>
        </is>
      </c>
      <c r="C24" s="2" t="n">
        <v>2</v>
      </c>
      <c r="D24" s="2" t="n">
        <v>4</v>
      </c>
      <c r="E24" s="2" t="n">
        <v>1</v>
      </c>
      <c r="F24" s="4" t="n">
        <v>262387</v>
      </c>
      <c r="G24" s="4" t="n">
        <v>0</v>
      </c>
      <c r="H24" s="4">
        <f>F24+G24</f>
        <v/>
      </c>
      <c r="I24" s="5" t="n">
        <v>680</v>
      </c>
      <c r="J24" s="5">
        <f>H24*1.0</f>
        <v/>
      </c>
      <c r="K24" s="5">
        <f>(H24*2.0*4.0*1.0)/12</f>
        <v/>
      </c>
      <c r="L24" s="6">
        <f>(K24*I24)/1000</f>
        <v/>
      </c>
      <c r="M24" s="6">
        <f>L24*1.0</f>
        <v/>
      </c>
      <c r="N24" s="4" t="n">
        <v>0</v>
      </c>
      <c r="O24" s="2" t="inlineStr"/>
      <c r="P24" s="4">
        <f>SUM(N24:N24)</f>
        <v/>
      </c>
      <c r="Q24" s="5">
        <f>P24</f>
        <v/>
      </c>
      <c r="R24" s="5">
        <f>(P24*2.0*4.0)/12</f>
        <v/>
      </c>
      <c r="S24" s="6">
        <f>(R24*I24)/1000</f>
        <v/>
      </c>
      <c r="T24" s="6">
        <f>S24*1.0</f>
        <v/>
      </c>
      <c r="U24" s="4">
        <f>J24-Q24</f>
        <v/>
      </c>
      <c r="V24" s="5">
        <f>U24</f>
        <v/>
      </c>
      <c r="W24" s="5">
        <f>(U24*2.0*4.0)/12</f>
        <v/>
      </c>
      <c r="X24" s="6">
        <f>(W24*I24)/1000</f>
        <v/>
      </c>
      <c r="Y24" s="6">
        <f>X24*1.0</f>
        <v/>
      </c>
      <c r="Z24" s="5" t="n">
        <v>0</v>
      </c>
      <c r="AA24" s="5">
        <f>Q24-Z24</f>
        <v/>
      </c>
      <c r="AB24" s="6">
        <f>((AA24*2.0*4.0)/12*I24)/1000</f>
        <v/>
      </c>
    </row>
    <row r="25">
      <c r="A25" s="2" t="inlineStr">
        <is>
          <t>Lumber</t>
        </is>
      </c>
      <c r="B25" s="3" t="inlineStr">
        <is>
          <t>2 x 4 1 DFL#2</t>
        </is>
      </c>
      <c r="C25" s="2" t="n">
        <v>2</v>
      </c>
      <c r="D25" s="2" t="n">
        <v>4</v>
      </c>
      <c r="E25" s="2" t="n">
        <v>1</v>
      </c>
      <c r="F25" s="4" t="n">
        <v>64464</v>
      </c>
      <c r="G25" s="4" t="n">
        <v>0</v>
      </c>
      <c r="H25" s="4">
        <f>F25+G25</f>
        <v/>
      </c>
      <c r="I25" s="5" t="n">
        <v>680</v>
      </c>
      <c r="J25" s="5">
        <f>H25*1.0</f>
        <v/>
      </c>
      <c r="K25" s="5">
        <f>(H25*2.0*4.0*1.0)/12</f>
        <v/>
      </c>
      <c r="L25" s="6">
        <f>(K25*I25)/1000</f>
        <v/>
      </c>
      <c r="M25" s="6">
        <f>L25*1.0</f>
        <v/>
      </c>
      <c r="N25" s="4" t="n">
        <v>0</v>
      </c>
      <c r="O25" s="2" t="inlineStr"/>
      <c r="P25" s="4">
        <f>SUM(N25:N25)</f>
        <v/>
      </c>
      <c r="Q25" s="5">
        <f>P25</f>
        <v/>
      </c>
      <c r="R25" s="5">
        <f>(P25*2.0*4.0)/12</f>
        <v/>
      </c>
      <c r="S25" s="6">
        <f>(R25*I25)/1000</f>
        <v/>
      </c>
      <c r="T25" s="6">
        <f>S25*1.0</f>
        <v/>
      </c>
      <c r="U25" s="4">
        <f>J25-Q25</f>
        <v/>
      </c>
      <c r="V25" s="5">
        <f>U25</f>
        <v/>
      </c>
      <c r="W25" s="5">
        <f>(U25*2.0*4.0)/12</f>
        <v/>
      </c>
      <c r="X25" s="6">
        <f>(W25*I25)/1000</f>
        <v/>
      </c>
      <c r="Y25" s="6">
        <f>X25*1.0</f>
        <v/>
      </c>
      <c r="Z25" s="5" t="n">
        <v>0</v>
      </c>
      <c r="AA25" s="5">
        <f>Q25-Z25</f>
        <v/>
      </c>
      <c r="AB25" s="6">
        <f>((AA25*2.0*4.0)/12*I25)/1000</f>
        <v/>
      </c>
    </row>
    <row r="26">
      <c r="A26" s="2" t="inlineStr">
        <is>
          <t>Lumber</t>
        </is>
      </c>
      <c r="B26" s="3" t="inlineStr">
        <is>
          <t>2 x 4 12 DFL#2</t>
        </is>
      </c>
      <c r="C26" s="2" t="n">
        <v>2</v>
      </c>
      <c r="D26" s="2" t="n">
        <v>4</v>
      </c>
      <c r="E26" s="2" t="n">
        <v>12</v>
      </c>
      <c r="F26" s="4" t="n">
        <v>816</v>
      </c>
      <c r="G26" s="4" t="n">
        <v>0</v>
      </c>
      <c r="H26" s="4">
        <f>F26+G26</f>
        <v/>
      </c>
      <c r="I26" s="5" t="n">
        <v>680</v>
      </c>
      <c r="J26" s="5">
        <f>H26*12.0</f>
        <v/>
      </c>
      <c r="K26" s="5">
        <f>(H26*2.0*4.0*12.0)/12</f>
        <v/>
      </c>
      <c r="L26" s="6">
        <f>(K26*I26)/1000</f>
        <v/>
      </c>
      <c r="M26" s="6">
        <f>L26*1.0</f>
        <v/>
      </c>
      <c r="N26" s="4" t="n">
        <v>0</v>
      </c>
      <c r="O26" s="2" t="inlineStr"/>
      <c r="P26" s="4">
        <f>SUM(N26:N26)</f>
        <v/>
      </c>
      <c r="Q26" s="5">
        <f>P26*12.0</f>
        <v/>
      </c>
      <c r="R26" s="5">
        <f>(P26*2.0*4.0*12.0)/12</f>
        <v/>
      </c>
      <c r="S26" s="6">
        <f>(R26*I26)/1000</f>
        <v/>
      </c>
      <c r="T26" s="6">
        <f>S26*1.0</f>
        <v/>
      </c>
      <c r="U26" s="4">
        <f>H26-P26</f>
        <v/>
      </c>
      <c r="V26" s="5">
        <f>U26*12.0</f>
        <v/>
      </c>
      <c r="W26" s="5">
        <f>(U26*2.0*4.0*12.0)/12</f>
        <v/>
      </c>
      <c r="X26" s="6">
        <f>(W26*I26)/1000</f>
        <v/>
      </c>
      <c r="Y26" s="6">
        <f>X26*1.0</f>
        <v/>
      </c>
      <c r="Z26" s="5" t="n">
        <v>0</v>
      </c>
      <c r="AA26" s="5">
        <f>Q26-Z26</f>
        <v/>
      </c>
      <c r="AB26" s="6">
        <f>((AA26*2.0*4.0)/12*I26)/1000</f>
        <v/>
      </c>
    </row>
    <row r="27">
      <c r="A27" s="2" t="inlineStr">
        <is>
          <t>Lumber</t>
        </is>
      </c>
      <c r="B27" s="3" t="inlineStr">
        <is>
          <t>2 x 4 12 DFL#2</t>
        </is>
      </c>
      <c r="C27" s="2" t="n">
        <v>2</v>
      </c>
      <c r="D27" s="2" t="n">
        <v>4</v>
      </c>
      <c r="E27" s="2" t="n">
        <v>12</v>
      </c>
      <c r="F27" s="4" t="n">
        <v>2600</v>
      </c>
      <c r="G27" s="4" t="n">
        <v>0</v>
      </c>
      <c r="H27" s="4">
        <f>F27+G27</f>
        <v/>
      </c>
      <c r="I27" s="5" t="n">
        <v>680</v>
      </c>
      <c r="J27" s="5">
        <f>H27*12.0</f>
        <v/>
      </c>
      <c r="K27" s="5">
        <f>(H27*2.0*4.0*12.0)/12</f>
        <v/>
      </c>
      <c r="L27" s="6">
        <f>(K27*I27)/1000</f>
        <v/>
      </c>
      <c r="M27" s="6">
        <f>L27*1.0</f>
        <v/>
      </c>
      <c r="N27" s="4" t="n">
        <v>0</v>
      </c>
      <c r="O27" s="2" t="inlineStr"/>
      <c r="P27" s="4">
        <f>SUM(N27:N27)</f>
        <v/>
      </c>
      <c r="Q27" s="5">
        <f>P27*12.0</f>
        <v/>
      </c>
      <c r="R27" s="5">
        <f>(P27*2.0*4.0*12.0)/12</f>
        <v/>
      </c>
      <c r="S27" s="6">
        <f>(R27*I27)/1000</f>
        <v/>
      </c>
      <c r="T27" s="6">
        <f>S27*1.0</f>
        <v/>
      </c>
      <c r="U27" s="4">
        <f>H27-P27</f>
        <v/>
      </c>
      <c r="V27" s="5">
        <f>U27*12.0</f>
        <v/>
      </c>
      <c r="W27" s="5">
        <f>(U27*2.0*4.0*12.0)/12</f>
        <v/>
      </c>
      <c r="X27" s="6">
        <f>(W27*I27)/1000</f>
        <v/>
      </c>
      <c r="Y27" s="6">
        <f>X27*1.0</f>
        <v/>
      </c>
      <c r="Z27" s="5" t="n">
        <v>0</v>
      </c>
      <c r="AA27" s="5">
        <f>Q27-Z27</f>
        <v/>
      </c>
      <c r="AB27" s="6">
        <f>((AA27*2.0*4.0)/12*I27)/1000</f>
        <v/>
      </c>
    </row>
    <row r="28">
      <c r="A28" s="2" t="inlineStr">
        <is>
          <t>Lumber</t>
        </is>
      </c>
      <c r="B28" s="3" t="inlineStr">
        <is>
          <t>2 x 6 1 DFL#2</t>
        </is>
      </c>
      <c r="C28" s="2" t="n">
        <v>2</v>
      </c>
      <c r="D28" s="2" t="n">
        <v>6</v>
      </c>
      <c r="E28" s="2" t="n">
        <v>1</v>
      </c>
      <c r="F28" s="4" t="n">
        <v>185067</v>
      </c>
      <c r="G28" s="4" t="n">
        <v>0</v>
      </c>
      <c r="H28" s="4">
        <f>F28+G28</f>
        <v/>
      </c>
      <c r="I28" s="5" t="n">
        <v>831</v>
      </c>
      <c r="J28" s="5">
        <f>H28*1.0</f>
        <v/>
      </c>
      <c r="K28" s="5">
        <f>(H28*2.0*6.0*1.0)/12</f>
        <v/>
      </c>
      <c r="L28" s="6">
        <f>(K28*I28)/1000</f>
        <v/>
      </c>
      <c r="M28" s="6">
        <f>L28*1.0</f>
        <v/>
      </c>
      <c r="N28" s="4" t="n">
        <v>0</v>
      </c>
      <c r="O28" s="2" t="inlineStr"/>
      <c r="P28" s="4">
        <f>SUM(N28:N28)</f>
        <v/>
      </c>
      <c r="Q28" s="5">
        <f>P28</f>
        <v/>
      </c>
      <c r="R28" s="5">
        <f>(P28*2.0*6.0)/12</f>
        <v/>
      </c>
      <c r="S28" s="6">
        <f>(R28*I28)/1000</f>
        <v/>
      </c>
      <c r="T28" s="6">
        <f>S28*1.0</f>
        <v/>
      </c>
      <c r="U28" s="4">
        <f>J28-Q28</f>
        <v/>
      </c>
      <c r="V28" s="5">
        <f>U28</f>
        <v/>
      </c>
      <c r="W28" s="5">
        <f>(U28*2.0*6.0)/12</f>
        <v/>
      </c>
      <c r="X28" s="6">
        <f>(W28*I28)/1000</f>
        <v/>
      </c>
      <c r="Y28" s="6">
        <f>X28*1.0</f>
        <v/>
      </c>
      <c r="Z28" s="5" t="n">
        <v>0</v>
      </c>
      <c r="AA28" s="5">
        <f>Q28-Z28</f>
        <v/>
      </c>
      <c r="AB28" s="6">
        <f>((AA28*2.0*6.0)/12*I28)/1000</f>
        <v/>
      </c>
    </row>
    <row r="29">
      <c r="A29" s="2" t="inlineStr">
        <is>
          <t>Lumber</t>
        </is>
      </c>
      <c r="B29" s="3" t="inlineStr">
        <is>
          <t>2 x 6 1 DFL#2</t>
        </is>
      </c>
      <c r="C29" s="2" t="n">
        <v>2</v>
      </c>
      <c r="D29" s="2" t="n">
        <v>6</v>
      </c>
      <c r="E29" s="2" t="n">
        <v>1</v>
      </c>
      <c r="F29" s="4" t="n">
        <v>25184</v>
      </c>
      <c r="G29" s="4" t="n">
        <v>0</v>
      </c>
      <c r="H29" s="4">
        <f>F29+G29</f>
        <v/>
      </c>
      <c r="I29" s="5" t="n">
        <v>831</v>
      </c>
      <c r="J29" s="5">
        <f>H29*1.0</f>
        <v/>
      </c>
      <c r="K29" s="5">
        <f>(H29*2.0*6.0*1.0)/12</f>
        <v/>
      </c>
      <c r="L29" s="6">
        <f>(K29*I29)/1000</f>
        <v/>
      </c>
      <c r="M29" s="6">
        <f>L29*1.0</f>
        <v/>
      </c>
      <c r="N29" s="4" t="n">
        <v>0</v>
      </c>
      <c r="O29" s="2" t="inlineStr"/>
      <c r="P29" s="4">
        <f>SUM(N29:N29)</f>
        <v/>
      </c>
      <c r="Q29" s="5">
        <f>P29</f>
        <v/>
      </c>
      <c r="R29" s="5">
        <f>(P29*2.0*6.0)/12</f>
        <v/>
      </c>
      <c r="S29" s="6">
        <f>(R29*I29)/1000</f>
        <v/>
      </c>
      <c r="T29" s="6">
        <f>S29*1.0</f>
        <v/>
      </c>
      <c r="U29" s="4">
        <f>J29-Q29</f>
        <v/>
      </c>
      <c r="V29" s="5">
        <f>U29</f>
        <v/>
      </c>
      <c r="W29" s="5">
        <f>(U29*2.0*6.0)/12</f>
        <v/>
      </c>
      <c r="X29" s="6">
        <f>(W29*I29)/1000</f>
        <v/>
      </c>
      <c r="Y29" s="6">
        <f>X29*1.0</f>
        <v/>
      </c>
      <c r="Z29" s="5" t="n">
        <v>0</v>
      </c>
      <c r="AA29" s="5">
        <f>Q29-Z29</f>
        <v/>
      </c>
      <c r="AB29" s="6">
        <f>((AA29*2.0*6.0)/12*I29)/1000</f>
        <v/>
      </c>
    </row>
    <row r="30">
      <c r="A30" s="2" t="inlineStr">
        <is>
          <t>Lumber</t>
        </is>
      </c>
      <c r="B30" s="3" t="inlineStr">
        <is>
          <t>2 x 6 1 DFL#2</t>
        </is>
      </c>
      <c r="C30" s="2" t="n">
        <v>2</v>
      </c>
      <c r="D30" s="2" t="n">
        <v>6</v>
      </c>
      <c r="E30" s="2" t="n">
        <v>1</v>
      </c>
      <c r="F30" s="4" t="n">
        <v>141</v>
      </c>
      <c r="G30" s="4" t="n">
        <v>0</v>
      </c>
      <c r="H30" s="4">
        <f>F30+G30</f>
        <v/>
      </c>
      <c r="I30" s="5" t="n">
        <v>831</v>
      </c>
      <c r="J30" s="5">
        <f>H30*1.0</f>
        <v/>
      </c>
      <c r="K30" s="5">
        <f>(H30*2.0*6.0*1.0)/12</f>
        <v/>
      </c>
      <c r="L30" s="6">
        <f>(K30*I30)/1000</f>
        <v/>
      </c>
      <c r="M30" s="6">
        <f>L30*1.0</f>
        <v/>
      </c>
      <c r="N30" s="4" t="n">
        <v>0</v>
      </c>
      <c r="O30" s="2" t="inlineStr"/>
      <c r="P30" s="4">
        <f>SUM(N30:N30)</f>
        <v/>
      </c>
      <c r="Q30" s="5">
        <f>P30</f>
        <v/>
      </c>
      <c r="R30" s="5">
        <f>(P30*2.0*6.0)/12</f>
        <v/>
      </c>
      <c r="S30" s="6">
        <f>(R30*I30)/1000</f>
        <v/>
      </c>
      <c r="T30" s="6">
        <f>S30*1.0</f>
        <v/>
      </c>
      <c r="U30" s="4">
        <f>J30-Q30</f>
        <v/>
      </c>
      <c r="V30" s="5">
        <f>U30</f>
        <v/>
      </c>
      <c r="W30" s="5">
        <f>(U30*2.0*6.0)/12</f>
        <v/>
      </c>
      <c r="X30" s="6">
        <f>(W30*I30)/1000</f>
        <v/>
      </c>
      <c r="Y30" s="6">
        <f>X30*1.0</f>
        <v/>
      </c>
      <c r="Z30" s="5" t="n">
        <v>0</v>
      </c>
      <c r="AA30" s="5">
        <f>Q30-Z30</f>
        <v/>
      </c>
      <c r="AB30" s="6">
        <f>((AA30*2.0*6.0)/12*I30)/1000</f>
        <v/>
      </c>
    </row>
    <row r="31">
      <c r="A31" s="2" t="inlineStr">
        <is>
          <t>Lumber</t>
        </is>
      </c>
      <c r="B31" s="3" t="inlineStr">
        <is>
          <t>2 x 6 1 DFL#2</t>
        </is>
      </c>
      <c r="C31" s="2" t="n">
        <v>2</v>
      </c>
      <c r="D31" s="2" t="n">
        <v>6</v>
      </c>
      <c r="E31" s="2" t="n">
        <v>1</v>
      </c>
      <c r="F31" s="4" t="n">
        <v>228</v>
      </c>
      <c r="G31" s="4" t="n">
        <v>0</v>
      </c>
      <c r="H31" s="4">
        <f>F31+G31</f>
        <v/>
      </c>
      <c r="I31" s="5" t="n">
        <v>831</v>
      </c>
      <c r="J31" s="5">
        <f>H31*1.0</f>
        <v/>
      </c>
      <c r="K31" s="5">
        <f>(H31*2.0*6.0*1.0)/12</f>
        <v/>
      </c>
      <c r="L31" s="6">
        <f>(K31*I31)/1000</f>
        <v/>
      </c>
      <c r="M31" s="6">
        <f>L31*1.0</f>
        <v/>
      </c>
      <c r="N31" s="4" t="n">
        <v>0</v>
      </c>
      <c r="O31" s="2" t="inlineStr"/>
      <c r="P31" s="4">
        <f>SUM(N31:N31)</f>
        <v/>
      </c>
      <c r="Q31" s="5">
        <f>P31</f>
        <v/>
      </c>
      <c r="R31" s="5">
        <f>(P31*2.0*6.0)/12</f>
        <v/>
      </c>
      <c r="S31" s="6">
        <f>(R31*I31)/1000</f>
        <v/>
      </c>
      <c r="T31" s="6">
        <f>S31*1.0</f>
        <v/>
      </c>
      <c r="U31" s="4">
        <f>J31-Q31</f>
        <v/>
      </c>
      <c r="V31" s="5">
        <f>U31</f>
        <v/>
      </c>
      <c r="W31" s="5">
        <f>(U31*2.0*6.0)/12</f>
        <v/>
      </c>
      <c r="X31" s="6">
        <f>(W31*I31)/1000</f>
        <v/>
      </c>
      <c r="Y31" s="6">
        <f>X31*1.0</f>
        <v/>
      </c>
      <c r="Z31" s="5" t="n">
        <v>0</v>
      </c>
      <c r="AA31" s="5">
        <f>Q31-Z31</f>
        <v/>
      </c>
      <c r="AB31" s="6">
        <f>((AA31*2.0*6.0)/12*I31)/1000</f>
        <v/>
      </c>
    </row>
    <row r="32">
      <c r="A32" s="2" t="inlineStr">
        <is>
          <t>Lumber</t>
        </is>
      </c>
      <c r="B32" s="3" t="inlineStr">
        <is>
          <t>2 x 6 8 DFL#2</t>
        </is>
      </c>
      <c r="C32" s="2" t="n">
        <v>2</v>
      </c>
      <c r="D32" s="2" t="n">
        <v>6</v>
      </c>
      <c r="E32" s="2" t="n">
        <v>8</v>
      </c>
      <c r="F32" s="4" t="n">
        <v>2783</v>
      </c>
      <c r="G32" s="4" t="n">
        <v>0</v>
      </c>
      <c r="H32" s="4">
        <f>F32+G32</f>
        <v/>
      </c>
      <c r="I32" s="5" t="n">
        <v>831</v>
      </c>
      <c r="J32" s="5">
        <f>H32*8.0</f>
        <v/>
      </c>
      <c r="K32" s="5">
        <f>(H32*2.0*6.0*8.0)/12</f>
        <v/>
      </c>
      <c r="L32" s="6">
        <f>(K32*I32)/1000</f>
        <v/>
      </c>
      <c r="M32" s="6">
        <f>L32*1.0</f>
        <v/>
      </c>
      <c r="N32" s="4" t="n">
        <v>0</v>
      </c>
      <c r="O32" s="2" t="inlineStr"/>
      <c r="P32" s="4">
        <f>SUM(N32:N32)</f>
        <v/>
      </c>
      <c r="Q32" s="5">
        <f>P32*8.0</f>
        <v/>
      </c>
      <c r="R32" s="5">
        <f>(P32*2.0*6.0*8.0)/12</f>
        <v/>
      </c>
      <c r="S32" s="6">
        <f>(R32*I32)/1000</f>
        <v/>
      </c>
      <c r="T32" s="6">
        <f>S32*1.0</f>
        <v/>
      </c>
      <c r="U32" s="4">
        <f>H32-P32</f>
        <v/>
      </c>
      <c r="V32" s="5">
        <f>U32*8.0</f>
        <v/>
      </c>
      <c r="W32" s="5">
        <f>(U32*2.0*6.0*8.0)/12</f>
        <v/>
      </c>
      <c r="X32" s="6">
        <f>(W32*I32)/1000</f>
        <v/>
      </c>
      <c r="Y32" s="6">
        <f>X32*1.0</f>
        <v/>
      </c>
      <c r="Z32" s="5" t="n">
        <v>0</v>
      </c>
      <c r="AA32" s="5">
        <f>Q32-Z32</f>
        <v/>
      </c>
      <c r="AB32" s="6">
        <f>((AA32*2.0*6.0)/12*I32)/1000</f>
        <v/>
      </c>
    </row>
    <row r="33">
      <c r="A33" s="2" t="inlineStr">
        <is>
          <t>Lumber</t>
        </is>
      </c>
      <c r="B33" s="3" t="inlineStr">
        <is>
          <t>2 x 6 8 DFL#2</t>
        </is>
      </c>
      <c r="C33" s="2" t="n">
        <v>2</v>
      </c>
      <c r="D33" s="2" t="n">
        <v>6</v>
      </c>
      <c r="E33" s="2" t="n">
        <v>8</v>
      </c>
      <c r="F33" s="4" t="n">
        <v>201</v>
      </c>
      <c r="G33" s="4" t="n">
        <v>0</v>
      </c>
      <c r="H33" s="4">
        <f>F33+G33</f>
        <v/>
      </c>
      <c r="I33" s="5" t="n">
        <v>831</v>
      </c>
      <c r="J33" s="5">
        <f>H33*8.0</f>
        <v/>
      </c>
      <c r="K33" s="5">
        <f>(H33*2.0*6.0*8.0)/12</f>
        <v/>
      </c>
      <c r="L33" s="6">
        <f>(K33*I33)/1000</f>
        <v/>
      </c>
      <c r="M33" s="6">
        <f>L33*1.0</f>
        <v/>
      </c>
      <c r="N33" s="4" t="n">
        <v>0</v>
      </c>
      <c r="O33" s="2" t="inlineStr"/>
      <c r="P33" s="4">
        <f>SUM(N33:N33)</f>
        <v/>
      </c>
      <c r="Q33" s="5">
        <f>P33*8.0</f>
        <v/>
      </c>
      <c r="R33" s="5">
        <f>(P33*2.0*6.0*8.0)/12</f>
        <v/>
      </c>
      <c r="S33" s="6">
        <f>(R33*I33)/1000</f>
        <v/>
      </c>
      <c r="T33" s="6">
        <f>S33*1.0</f>
        <v/>
      </c>
      <c r="U33" s="4">
        <f>H33-P33</f>
        <v/>
      </c>
      <c r="V33" s="5">
        <f>U33*8.0</f>
        <v/>
      </c>
      <c r="W33" s="5">
        <f>(U33*2.0*6.0*8.0)/12</f>
        <v/>
      </c>
      <c r="X33" s="6">
        <f>(W33*I33)/1000</f>
        <v/>
      </c>
      <c r="Y33" s="6">
        <f>X33*1.0</f>
        <v/>
      </c>
      <c r="Z33" s="5" t="n">
        <v>0</v>
      </c>
      <c r="AA33" s="5">
        <f>Q33-Z33</f>
        <v/>
      </c>
      <c r="AB33" s="6">
        <f>((AA33*2.0*6.0)/12*I33)/1000</f>
        <v/>
      </c>
    </row>
    <row r="34">
      <c r="A34" s="2" t="inlineStr">
        <is>
          <t>Lumber</t>
        </is>
      </c>
      <c r="B34" s="3" t="inlineStr">
        <is>
          <t>2 x 6 12 DFL#2</t>
        </is>
      </c>
      <c r="C34" s="2" t="n">
        <v>2</v>
      </c>
      <c r="D34" s="2" t="n">
        <v>6</v>
      </c>
      <c r="E34" s="2" t="n">
        <v>12</v>
      </c>
      <c r="F34" s="4" t="n">
        <v>2317</v>
      </c>
      <c r="G34" s="4" t="n">
        <v>0</v>
      </c>
      <c r="H34" s="4">
        <f>F34+G34</f>
        <v/>
      </c>
      <c r="I34" s="5" t="n">
        <v>831</v>
      </c>
      <c r="J34" s="5">
        <f>H34*12.0</f>
        <v/>
      </c>
      <c r="K34" s="5">
        <f>(H34*2.0*6.0*12.0)/12</f>
        <v/>
      </c>
      <c r="L34" s="6">
        <f>(K34*I34)/1000</f>
        <v/>
      </c>
      <c r="M34" s="6">
        <f>L34*1.0</f>
        <v/>
      </c>
      <c r="N34" s="4" t="n">
        <v>0</v>
      </c>
      <c r="O34" s="2" t="inlineStr"/>
      <c r="P34" s="4">
        <f>SUM(N34:N34)</f>
        <v/>
      </c>
      <c r="Q34" s="5">
        <f>P34*12.0</f>
        <v/>
      </c>
      <c r="R34" s="5">
        <f>(P34*2.0*6.0*12.0)/12</f>
        <v/>
      </c>
      <c r="S34" s="6">
        <f>(R34*I34)/1000</f>
        <v/>
      </c>
      <c r="T34" s="6">
        <f>S34*1.0</f>
        <v/>
      </c>
      <c r="U34" s="4">
        <f>H34-P34</f>
        <v/>
      </c>
      <c r="V34" s="5">
        <f>U34*12.0</f>
        <v/>
      </c>
      <c r="W34" s="5">
        <f>(U34*2.0*6.0*12.0)/12</f>
        <v/>
      </c>
      <c r="X34" s="6">
        <f>(W34*I34)/1000</f>
        <v/>
      </c>
      <c r="Y34" s="6">
        <f>X34*1.0</f>
        <v/>
      </c>
      <c r="Z34" s="5" t="n">
        <v>0</v>
      </c>
      <c r="AA34" s="5">
        <f>Q34-Z34</f>
        <v/>
      </c>
      <c r="AB34" s="6">
        <f>((AA34*2.0*6.0)/12*I34)/1000</f>
        <v/>
      </c>
    </row>
    <row r="35">
      <c r="A35" s="2" t="inlineStr">
        <is>
          <t>Lumber</t>
        </is>
      </c>
      <c r="B35" s="3" t="inlineStr">
        <is>
          <t>2 x 6 12 DFL#2</t>
        </is>
      </c>
      <c r="C35" s="2" t="n">
        <v>2</v>
      </c>
      <c r="D35" s="2" t="n">
        <v>6</v>
      </c>
      <c r="E35" s="2" t="n">
        <v>12</v>
      </c>
      <c r="F35" s="4" t="n">
        <v>3743</v>
      </c>
      <c r="G35" s="4" t="n">
        <v>0</v>
      </c>
      <c r="H35" s="4">
        <f>F35+G35</f>
        <v/>
      </c>
      <c r="I35" s="5" t="n">
        <v>831</v>
      </c>
      <c r="J35" s="5">
        <f>H35*12.0</f>
        <v/>
      </c>
      <c r="K35" s="5">
        <f>(H35*2.0*6.0*12.0)/12</f>
        <v/>
      </c>
      <c r="L35" s="6">
        <f>(K35*I35)/1000</f>
        <v/>
      </c>
      <c r="M35" s="6">
        <f>L35*1.0</f>
        <v/>
      </c>
      <c r="N35" s="4" t="n">
        <v>0</v>
      </c>
      <c r="O35" s="2" t="inlineStr"/>
      <c r="P35" s="4">
        <f>SUM(N35:N35)</f>
        <v/>
      </c>
      <c r="Q35" s="5">
        <f>P35*12.0</f>
        <v/>
      </c>
      <c r="R35" s="5">
        <f>(P35*2.0*6.0*12.0)/12</f>
        <v/>
      </c>
      <c r="S35" s="6">
        <f>(R35*I35)/1000</f>
        <v/>
      </c>
      <c r="T35" s="6">
        <f>S35*1.0</f>
        <v/>
      </c>
      <c r="U35" s="4">
        <f>H35-P35</f>
        <v/>
      </c>
      <c r="V35" s="5">
        <f>U35*12.0</f>
        <v/>
      </c>
      <c r="W35" s="5">
        <f>(U35*2.0*6.0*12.0)/12</f>
        <v/>
      </c>
      <c r="X35" s="6">
        <f>(W35*I35)/1000</f>
        <v/>
      </c>
      <c r="Y35" s="6">
        <f>X35*1.0</f>
        <v/>
      </c>
      <c r="Z35" s="5" t="n">
        <v>0</v>
      </c>
      <c r="AA35" s="5">
        <f>Q35-Z35</f>
        <v/>
      </c>
      <c r="AB35" s="6">
        <f>((AA35*2.0*6.0)/12*I35)/1000</f>
        <v/>
      </c>
    </row>
    <row r="36">
      <c r="A36" s="2" t="inlineStr">
        <is>
          <t>Lumber</t>
        </is>
      </c>
      <c r="B36" s="3" t="inlineStr">
        <is>
          <t>2 x 8 1 DFL#2</t>
        </is>
      </c>
      <c r="C36" s="2" t="n">
        <v>2</v>
      </c>
      <c r="D36" s="2" t="n">
        <v>8</v>
      </c>
      <c r="E36" s="2" t="n">
        <v>1</v>
      </c>
      <c r="F36" s="4" t="n">
        <v>13741</v>
      </c>
      <c r="G36" s="4" t="n">
        <v>0</v>
      </c>
      <c r="H36" s="4">
        <f>F36+G36</f>
        <v/>
      </c>
      <c r="I36" s="5" t="n">
        <v>710</v>
      </c>
      <c r="J36" s="5">
        <f>H36*1.0</f>
        <v/>
      </c>
      <c r="K36" s="5">
        <f>(H36*2.0*8.0*1.0)/12</f>
        <v/>
      </c>
      <c r="L36" s="6">
        <f>(K36*I36)/1000</f>
        <v/>
      </c>
      <c r="M36" s="6">
        <f>L36*1.0</f>
        <v/>
      </c>
      <c r="N36" s="4" t="n">
        <v>0</v>
      </c>
      <c r="O36" s="2" t="inlineStr"/>
      <c r="P36" s="4">
        <f>SUM(N36:N36)</f>
        <v/>
      </c>
      <c r="Q36" s="5">
        <f>P36</f>
        <v/>
      </c>
      <c r="R36" s="5">
        <f>(P36*2.0*8.0)/12</f>
        <v/>
      </c>
      <c r="S36" s="6">
        <f>(R36*I36)/1000</f>
        <v/>
      </c>
      <c r="T36" s="6">
        <f>S36*1.0</f>
        <v/>
      </c>
      <c r="U36" s="4">
        <f>J36-Q36</f>
        <v/>
      </c>
      <c r="V36" s="5">
        <f>U36</f>
        <v/>
      </c>
      <c r="W36" s="5">
        <f>(U36*2.0*8.0)/12</f>
        <v/>
      </c>
      <c r="X36" s="6">
        <f>(W36*I36)/1000</f>
        <v/>
      </c>
      <c r="Y36" s="6">
        <f>X36*1.0</f>
        <v/>
      </c>
      <c r="Z36" s="5" t="n">
        <v>0</v>
      </c>
      <c r="AA36" s="5">
        <f>Q36-Z36</f>
        <v/>
      </c>
      <c r="AB36" s="6">
        <f>((AA36*2.0*8.0)/12*I36)/1000</f>
        <v/>
      </c>
    </row>
    <row r="37">
      <c r="A37" s="2" t="inlineStr">
        <is>
          <t>Lumber</t>
        </is>
      </c>
      <c r="B37" s="3" t="inlineStr">
        <is>
          <t>2 x 8 8 DFL#2</t>
        </is>
      </c>
      <c r="C37" s="2" t="n">
        <v>2</v>
      </c>
      <c r="D37" s="2" t="n">
        <v>8</v>
      </c>
      <c r="E37" s="2" t="n">
        <v>8</v>
      </c>
      <c r="F37" s="4" t="n">
        <v>1836</v>
      </c>
      <c r="G37" s="4" t="n">
        <v>0</v>
      </c>
      <c r="H37" s="4">
        <f>F37+G37</f>
        <v/>
      </c>
      <c r="I37" s="5" t="n">
        <v>710</v>
      </c>
      <c r="J37" s="5">
        <f>H37*8.0</f>
        <v/>
      </c>
      <c r="K37" s="5">
        <f>(H37*2.0*8.0*8.0)/12</f>
        <v/>
      </c>
      <c r="L37" s="6">
        <f>(K37*I37)/1000</f>
        <v/>
      </c>
      <c r="M37" s="6">
        <f>L37*1.0</f>
        <v/>
      </c>
      <c r="N37" s="4" t="n">
        <v>0</v>
      </c>
      <c r="O37" s="2" t="inlineStr"/>
      <c r="P37" s="4">
        <f>SUM(N37:N37)</f>
        <v/>
      </c>
      <c r="Q37" s="5">
        <f>P37*8.0</f>
        <v/>
      </c>
      <c r="R37" s="5">
        <f>(P37*2.0*8.0*8.0)/12</f>
        <v/>
      </c>
      <c r="S37" s="6">
        <f>(R37*I37)/1000</f>
        <v/>
      </c>
      <c r="T37" s="6">
        <f>S37*1.0</f>
        <v/>
      </c>
      <c r="U37" s="4">
        <f>H37-P37</f>
        <v/>
      </c>
      <c r="V37" s="5">
        <f>U37*8.0</f>
        <v/>
      </c>
      <c r="W37" s="5">
        <f>(U37*2.0*8.0*8.0)/12</f>
        <v/>
      </c>
      <c r="X37" s="6">
        <f>(W37*I37)/1000</f>
        <v/>
      </c>
      <c r="Y37" s="6">
        <f>X37*1.0</f>
        <v/>
      </c>
      <c r="Z37" s="5" t="n">
        <v>0</v>
      </c>
      <c r="AA37" s="5">
        <f>Q37-Z37</f>
        <v/>
      </c>
      <c r="AB37" s="6">
        <f>((AA37*2.0*8.0)/12*I37)/1000</f>
        <v/>
      </c>
    </row>
    <row r="38">
      <c r="A38" s="2" t="inlineStr">
        <is>
          <t>Lumber</t>
        </is>
      </c>
      <c r="B38" s="3" t="inlineStr">
        <is>
          <t>2 x 8 8 DFL#2</t>
        </is>
      </c>
      <c r="C38" s="2" t="n">
        <v>2</v>
      </c>
      <c r="D38" s="2" t="n">
        <v>8</v>
      </c>
      <c r="E38" s="2" t="n">
        <v>8</v>
      </c>
      <c r="F38" s="4" t="n">
        <v>2308</v>
      </c>
      <c r="G38" s="4" t="n">
        <v>0</v>
      </c>
      <c r="H38" s="4">
        <f>F38+G38</f>
        <v/>
      </c>
      <c r="I38" s="5" t="n">
        <v>710</v>
      </c>
      <c r="J38" s="5">
        <f>H38*8.0</f>
        <v/>
      </c>
      <c r="K38" s="5">
        <f>(H38*2.0*8.0*8.0)/12</f>
        <v/>
      </c>
      <c r="L38" s="6">
        <f>(K38*I38)/1000</f>
        <v/>
      </c>
      <c r="M38" s="6">
        <f>L38*1.0</f>
        <v/>
      </c>
      <c r="N38" s="4" t="n">
        <v>0</v>
      </c>
      <c r="O38" s="2" t="inlineStr"/>
      <c r="P38" s="4">
        <f>SUM(N38:N38)</f>
        <v/>
      </c>
      <c r="Q38" s="5">
        <f>P38*8.0</f>
        <v/>
      </c>
      <c r="R38" s="5">
        <f>(P38*2.0*8.0*8.0)/12</f>
        <v/>
      </c>
      <c r="S38" s="6">
        <f>(R38*I38)/1000</f>
        <v/>
      </c>
      <c r="T38" s="6">
        <f>S38*1.0</f>
        <v/>
      </c>
      <c r="U38" s="4">
        <f>H38-P38</f>
        <v/>
      </c>
      <c r="V38" s="5">
        <f>U38*8.0</f>
        <v/>
      </c>
      <c r="W38" s="5">
        <f>(U38*2.0*8.0*8.0)/12</f>
        <v/>
      </c>
      <c r="X38" s="6">
        <f>(W38*I38)/1000</f>
        <v/>
      </c>
      <c r="Y38" s="6">
        <f>X38*1.0</f>
        <v/>
      </c>
      <c r="Z38" s="5" t="n">
        <v>0</v>
      </c>
      <c r="AA38" s="5">
        <f>Q38-Z38</f>
        <v/>
      </c>
      <c r="AB38" s="6">
        <f>((AA38*2.0*8.0)/12*I38)/1000</f>
        <v/>
      </c>
    </row>
    <row r="39">
      <c r="A39" s="2" t="inlineStr">
        <is>
          <t>Lumber</t>
        </is>
      </c>
      <c r="B39" s="3" t="inlineStr">
        <is>
          <t>2 x 8 10 DFL#2</t>
        </is>
      </c>
      <c r="C39" s="2" t="n">
        <v>2</v>
      </c>
      <c r="D39" s="2" t="n">
        <v>8</v>
      </c>
      <c r="E39" s="2" t="n">
        <v>10</v>
      </c>
      <c r="F39" s="4" t="n">
        <v>579</v>
      </c>
      <c r="G39" s="4" t="n">
        <v>0</v>
      </c>
      <c r="H39" s="4">
        <f>F39+G39</f>
        <v/>
      </c>
      <c r="I39" s="5" t="n">
        <v>710</v>
      </c>
      <c r="J39" s="5">
        <f>H39*10.0</f>
        <v/>
      </c>
      <c r="K39" s="5">
        <f>(H39*2.0*8.0*10.0)/12</f>
        <v/>
      </c>
      <c r="L39" s="6">
        <f>(K39*I39)/1000</f>
        <v/>
      </c>
      <c r="M39" s="6">
        <f>L39*1.0</f>
        <v/>
      </c>
      <c r="N39" s="4" t="n">
        <v>0</v>
      </c>
      <c r="O39" s="2" t="inlineStr"/>
      <c r="P39" s="4">
        <f>SUM(N39:N39)</f>
        <v/>
      </c>
      <c r="Q39" s="5">
        <f>P39*10.0</f>
        <v/>
      </c>
      <c r="R39" s="5">
        <f>(P39*2.0*8.0*10.0)/12</f>
        <v/>
      </c>
      <c r="S39" s="6">
        <f>(R39*I39)/1000</f>
        <v/>
      </c>
      <c r="T39" s="6">
        <f>S39*1.0</f>
        <v/>
      </c>
      <c r="U39" s="4">
        <f>H39-P39</f>
        <v/>
      </c>
      <c r="V39" s="5">
        <f>U39*10.0</f>
        <v/>
      </c>
      <c r="W39" s="5">
        <f>(U39*2.0*8.0*10.0)/12</f>
        <v/>
      </c>
      <c r="X39" s="6">
        <f>(W39*I39)/1000</f>
        <v/>
      </c>
      <c r="Y39" s="6">
        <f>X39*1.0</f>
        <v/>
      </c>
      <c r="Z39" s="5" t="n">
        <v>0</v>
      </c>
      <c r="AA39" s="5">
        <f>Q39-Z39</f>
        <v/>
      </c>
      <c r="AB39" s="6">
        <f>((AA39*2.0*8.0)/12*I39)/1000</f>
        <v/>
      </c>
    </row>
    <row r="40">
      <c r="A40" s="2" t="inlineStr">
        <is>
          <t>Lumber</t>
        </is>
      </c>
      <c r="B40" s="3" t="inlineStr">
        <is>
          <t>2 x 8 12 DFL#2</t>
        </is>
      </c>
      <c r="C40" s="2" t="n">
        <v>2</v>
      </c>
      <c r="D40" s="2" t="n">
        <v>8</v>
      </c>
      <c r="E40" s="2" t="n">
        <v>12</v>
      </c>
      <c r="F40" s="4" t="n">
        <v>52</v>
      </c>
      <c r="G40" s="4" t="n">
        <v>0</v>
      </c>
      <c r="H40" s="4">
        <f>F40+G40</f>
        <v/>
      </c>
      <c r="I40" s="5" t="n">
        <v>710</v>
      </c>
      <c r="J40" s="5">
        <f>H40*12.0</f>
        <v/>
      </c>
      <c r="K40" s="5">
        <f>(H40*2.0*8.0*12.0)/12</f>
        <v/>
      </c>
      <c r="L40" s="6">
        <f>(K40*I40)/1000</f>
        <v/>
      </c>
      <c r="M40" s="6">
        <f>L40*1.0</f>
        <v/>
      </c>
      <c r="N40" s="4" t="n">
        <v>0</v>
      </c>
      <c r="O40" s="2" t="inlineStr"/>
      <c r="P40" s="4">
        <f>SUM(N40:N40)</f>
        <v/>
      </c>
      <c r="Q40" s="5">
        <f>P40*12.0</f>
        <v/>
      </c>
      <c r="R40" s="5">
        <f>(P40*2.0*8.0*12.0)/12</f>
        <v/>
      </c>
      <c r="S40" s="6">
        <f>(R40*I40)/1000</f>
        <v/>
      </c>
      <c r="T40" s="6">
        <f>S40*1.0</f>
        <v/>
      </c>
      <c r="U40" s="4">
        <f>H40-P40</f>
        <v/>
      </c>
      <c r="V40" s="5">
        <f>U40*12.0</f>
        <v/>
      </c>
      <c r="W40" s="5">
        <f>(U40*2.0*8.0*12.0)/12</f>
        <v/>
      </c>
      <c r="X40" s="6">
        <f>(W40*I40)/1000</f>
        <v/>
      </c>
      <c r="Y40" s="6">
        <f>X40*1.0</f>
        <v/>
      </c>
      <c r="Z40" s="5" t="n">
        <v>0</v>
      </c>
      <c r="AA40" s="5">
        <f>Q40-Z40</f>
        <v/>
      </c>
      <c r="AB40" s="6">
        <f>((AA40*2.0*8.0)/12*I40)/1000</f>
        <v/>
      </c>
    </row>
    <row r="41">
      <c r="A41" s="2" t="inlineStr">
        <is>
          <t>Lumber</t>
        </is>
      </c>
      <c r="B41" s="3" t="inlineStr">
        <is>
          <t>2 x 8 14 DFL#2</t>
        </is>
      </c>
      <c r="C41" s="2" t="n">
        <v>2</v>
      </c>
      <c r="D41" s="2" t="n">
        <v>8</v>
      </c>
      <c r="E41" s="2" t="n">
        <v>14</v>
      </c>
      <c r="F41" s="4" t="n">
        <v>26</v>
      </c>
      <c r="G41" s="4" t="n">
        <v>0</v>
      </c>
      <c r="H41" s="4">
        <f>F41+G41</f>
        <v/>
      </c>
      <c r="I41" s="5" t="n">
        <v>710</v>
      </c>
      <c r="J41" s="5">
        <f>H41*14.0</f>
        <v/>
      </c>
      <c r="K41" s="5">
        <f>(H41*2.0*8.0*14.0)/12</f>
        <v/>
      </c>
      <c r="L41" s="6">
        <f>(K41*I41)/1000</f>
        <v/>
      </c>
      <c r="M41" s="6">
        <f>L41*1.0</f>
        <v/>
      </c>
      <c r="N41" s="4" t="n">
        <v>0</v>
      </c>
      <c r="O41" s="2" t="inlineStr"/>
      <c r="P41" s="4">
        <f>SUM(N41:N41)</f>
        <v/>
      </c>
      <c r="Q41" s="5">
        <f>P41*14.0</f>
        <v/>
      </c>
      <c r="R41" s="5">
        <f>(P41*2.0*8.0*14.0)/12</f>
        <v/>
      </c>
      <c r="S41" s="6">
        <f>(R41*I41)/1000</f>
        <v/>
      </c>
      <c r="T41" s="6">
        <f>S41*1.0</f>
        <v/>
      </c>
      <c r="U41" s="4">
        <f>H41-P41</f>
        <v/>
      </c>
      <c r="V41" s="5">
        <f>U41*14.0</f>
        <v/>
      </c>
      <c r="W41" s="5">
        <f>(U41*2.0*8.0*14.0)/12</f>
        <v/>
      </c>
      <c r="X41" s="6">
        <f>(W41*I41)/1000</f>
        <v/>
      </c>
      <c r="Y41" s="6">
        <f>X41*1.0</f>
        <v/>
      </c>
      <c r="Z41" s="5" t="n">
        <v>0</v>
      </c>
      <c r="AA41" s="5">
        <f>Q41-Z41</f>
        <v/>
      </c>
      <c r="AB41" s="6">
        <f>((AA41*2.0*8.0)/12*I41)/1000</f>
        <v/>
      </c>
    </row>
    <row r="42">
      <c r="A42" s="2" t="inlineStr">
        <is>
          <t>Lumber</t>
        </is>
      </c>
      <c r="B42" s="3" t="inlineStr">
        <is>
          <t>2 x 8 12 DFL#2</t>
        </is>
      </c>
      <c r="C42" s="2" t="n">
        <v>2</v>
      </c>
      <c r="D42" s="2" t="n">
        <v>8</v>
      </c>
      <c r="E42" s="2" t="n">
        <v>12</v>
      </c>
      <c r="F42" s="4" t="n">
        <v>1465</v>
      </c>
      <c r="G42" s="4" t="n">
        <v>0</v>
      </c>
      <c r="H42" s="4">
        <f>F42+G42</f>
        <v/>
      </c>
      <c r="I42" s="5" t="n">
        <v>710</v>
      </c>
      <c r="J42" s="5">
        <f>H42*12.0</f>
        <v/>
      </c>
      <c r="K42" s="5">
        <f>(H42*2.0*8.0*12.0)/12</f>
        <v/>
      </c>
      <c r="L42" s="6">
        <f>(K42*I42)/1000</f>
        <v/>
      </c>
      <c r="M42" s="6">
        <f>L42*1.0</f>
        <v/>
      </c>
      <c r="N42" s="4" t="n">
        <v>0</v>
      </c>
      <c r="O42" s="2" t="inlineStr"/>
      <c r="P42" s="4">
        <f>SUM(N42:N42)</f>
        <v/>
      </c>
      <c r="Q42" s="5">
        <f>P42*12.0</f>
        <v/>
      </c>
      <c r="R42" s="5">
        <f>(P42*2.0*8.0*12.0)/12</f>
        <v/>
      </c>
      <c r="S42" s="6">
        <f>(R42*I42)/1000</f>
        <v/>
      </c>
      <c r="T42" s="6">
        <f>S42*1.0</f>
        <v/>
      </c>
      <c r="U42" s="4">
        <f>H42-P42</f>
        <v/>
      </c>
      <c r="V42" s="5">
        <f>U42*12.0</f>
        <v/>
      </c>
      <c r="W42" s="5">
        <f>(U42*2.0*8.0*12.0)/12</f>
        <v/>
      </c>
      <c r="X42" s="6">
        <f>(W42*I42)/1000</f>
        <v/>
      </c>
      <c r="Y42" s="6">
        <f>X42*1.0</f>
        <v/>
      </c>
      <c r="Z42" s="5" t="n">
        <v>0</v>
      </c>
      <c r="AA42" s="5">
        <f>Q42-Z42</f>
        <v/>
      </c>
      <c r="AB42" s="6">
        <f>((AA42*2.0*8.0)/12*I42)/1000</f>
        <v/>
      </c>
    </row>
    <row r="43">
      <c r="A43" s="2" t="inlineStr">
        <is>
          <t>Lumber</t>
        </is>
      </c>
      <c r="B43" s="3" t="inlineStr">
        <is>
          <t>2 x 10 1 DFL#2</t>
        </is>
      </c>
      <c r="C43" s="2" t="n">
        <v>2</v>
      </c>
      <c r="D43" s="2" t="n">
        <v>10</v>
      </c>
      <c r="E43" s="2" t="n">
        <v>1</v>
      </c>
      <c r="F43" s="4" t="n">
        <v>26961</v>
      </c>
      <c r="G43" s="4" t="n">
        <v>0</v>
      </c>
      <c r="H43" s="4">
        <f>F43+G43</f>
        <v/>
      </c>
      <c r="I43" s="5" t="n">
        <v>845</v>
      </c>
      <c r="J43" s="5">
        <f>H43*1.0</f>
        <v/>
      </c>
      <c r="K43" s="5">
        <f>(H43*2.0*10.0*1.0)/12</f>
        <v/>
      </c>
      <c r="L43" s="6">
        <f>(K43*I43)/1000</f>
        <v/>
      </c>
      <c r="M43" s="6">
        <f>L43*1.0</f>
        <v/>
      </c>
      <c r="N43" s="4" t="n">
        <v>0</v>
      </c>
      <c r="O43" s="2" t="inlineStr"/>
      <c r="P43" s="4">
        <f>SUM(N43:N43)</f>
        <v/>
      </c>
      <c r="Q43" s="5">
        <f>P43</f>
        <v/>
      </c>
      <c r="R43" s="5">
        <f>(P43*2.0*10.0)/12</f>
        <v/>
      </c>
      <c r="S43" s="6">
        <f>(R43*I43)/1000</f>
        <v/>
      </c>
      <c r="T43" s="6">
        <f>S43*1.0</f>
        <v/>
      </c>
      <c r="U43" s="4">
        <f>J43-Q43</f>
        <v/>
      </c>
      <c r="V43" s="5">
        <f>U43</f>
        <v/>
      </c>
      <c r="W43" s="5">
        <f>(U43*2.0*10.0)/12</f>
        <v/>
      </c>
      <c r="X43" s="6">
        <f>(W43*I43)/1000</f>
        <v/>
      </c>
      <c r="Y43" s="6">
        <f>X43*1.0</f>
        <v/>
      </c>
      <c r="Z43" s="5" t="n">
        <v>0</v>
      </c>
      <c r="AA43" s="5">
        <f>Q43-Z43</f>
        <v/>
      </c>
      <c r="AB43" s="6">
        <f>((AA43*2.0*10.0)/12*I43)/1000</f>
        <v/>
      </c>
    </row>
    <row r="44">
      <c r="A44" s="2" t="inlineStr">
        <is>
          <t>Lumber</t>
        </is>
      </c>
      <c r="B44" s="3" t="inlineStr">
        <is>
          <t>2 x 10 8 DFL#2</t>
        </is>
      </c>
      <c r="C44" s="2" t="n">
        <v>2</v>
      </c>
      <c r="D44" s="2" t="n">
        <v>10</v>
      </c>
      <c r="E44" s="2" t="n">
        <v>8</v>
      </c>
      <c r="F44" s="4" t="n">
        <v>840</v>
      </c>
      <c r="G44" s="4" t="n">
        <v>0</v>
      </c>
      <c r="H44" s="4">
        <f>F44+G44</f>
        <v/>
      </c>
      <c r="I44" s="5" t="n">
        <v>845</v>
      </c>
      <c r="J44" s="5">
        <f>H44*8.0</f>
        <v/>
      </c>
      <c r="K44" s="5">
        <f>(H44*2.0*10.0*8.0)/12</f>
        <v/>
      </c>
      <c r="L44" s="6">
        <f>(K44*I44)/1000</f>
        <v/>
      </c>
      <c r="M44" s="6">
        <f>L44*1.0</f>
        <v/>
      </c>
      <c r="N44" s="4" t="n">
        <v>0</v>
      </c>
      <c r="O44" s="2" t="inlineStr"/>
      <c r="P44" s="4">
        <f>SUM(N44:N44)</f>
        <v/>
      </c>
      <c r="Q44" s="5">
        <f>P44*8.0</f>
        <v/>
      </c>
      <c r="R44" s="5">
        <f>(P44*2.0*10.0*8.0)/12</f>
        <v/>
      </c>
      <c r="S44" s="6">
        <f>(R44*I44)/1000</f>
        <v/>
      </c>
      <c r="T44" s="6">
        <f>S44*1.0</f>
        <v/>
      </c>
      <c r="U44" s="4">
        <f>H44-P44</f>
        <v/>
      </c>
      <c r="V44" s="5">
        <f>U44*8.0</f>
        <v/>
      </c>
      <c r="W44" s="5">
        <f>(U44*2.0*10.0*8.0)/12</f>
        <v/>
      </c>
      <c r="X44" s="6">
        <f>(W44*I44)/1000</f>
        <v/>
      </c>
      <c r="Y44" s="6">
        <f>X44*1.0</f>
        <v/>
      </c>
      <c r="Z44" s="5" t="n">
        <v>0</v>
      </c>
      <c r="AA44" s="5">
        <f>Q44-Z44</f>
        <v/>
      </c>
      <c r="AB44" s="6">
        <f>((AA44*2.0*10.0)/12*I44)/1000</f>
        <v/>
      </c>
    </row>
    <row r="45">
      <c r="A45" s="2" t="inlineStr">
        <is>
          <t>Lumber</t>
        </is>
      </c>
      <c r="B45" s="3" t="inlineStr">
        <is>
          <t>2 x 10 8 DFL#2</t>
        </is>
      </c>
      <c r="C45" s="2" t="n">
        <v>2</v>
      </c>
      <c r="D45" s="2" t="n">
        <v>10</v>
      </c>
      <c r="E45" s="2" t="n">
        <v>8</v>
      </c>
      <c r="F45" s="4" t="n">
        <v>21</v>
      </c>
      <c r="G45" s="4" t="n">
        <v>0</v>
      </c>
      <c r="H45" s="4">
        <f>F45+G45</f>
        <v/>
      </c>
      <c r="I45" s="5" t="n">
        <v>845</v>
      </c>
      <c r="J45" s="5">
        <f>H45*8.0</f>
        <v/>
      </c>
      <c r="K45" s="5">
        <f>(H45*2.0*10.0*8.0)/12</f>
        <v/>
      </c>
      <c r="L45" s="6">
        <f>(K45*I45)/1000</f>
        <v/>
      </c>
      <c r="M45" s="6">
        <f>L45*1.0</f>
        <v/>
      </c>
      <c r="N45" s="4" t="n">
        <v>0</v>
      </c>
      <c r="O45" s="2" t="inlineStr"/>
      <c r="P45" s="4">
        <f>SUM(N45:N45)</f>
        <v/>
      </c>
      <c r="Q45" s="5">
        <f>P45*8.0</f>
        <v/>
      </c>
      <c r="R45" s="5">
        <f>(P45*2.0*10.0*8.0)/12</f>
        <v/>
      </c>
      <c r="S45" s="6">
        <f>(R45*I45)/1000</f>
        <v/>
      </c>
      <c r="T45" s="6">
        <f>S45*1.0</f>
        <v/>
      </c>
      <c r="U45" s="4">
        <f>H45-P45</f>
        <v/>
      </c>
      <c r="V45" s="5">
        <f>U45*8.0</f>
        <v/>
      </c>
      <c r="W45" s="5">
        <f>(U45*2.0*10.0*8.0)/12</f>
        <v/>
      </c>
      <c r="X45" s="6">
        <f>(W45*I45)/1000</f>
        <v/>
      </c>
      <c r="Y45" s="6">
        <f>X45*1.0</f>
        <v/>
      </c>
      <c r="Z45" s="5" t="n">
        <v>0</v>
      </c>
      <c r="AA45" s="5">
        <f>Q45-Z45</f>
        <v/>
      </c>
      <c r="AB45" s="6">
        <f>((AA45*2.0*10.0)/12*I45)/1000</f>
        <v/>
      </c>
    </row>
    <row r="46">
      <c r="A46" s="2" t="inlineStr">
        <is>
          <t>Lumber</t>
        </is>
      </c>
      <c r="B46" s="3" t="inlineStr">
        <is>
          <t>2 x 10 10 DFL#2</t>
        </is>
      </c>
      <c r="C46" s="2" t="n">
        <v>2</v>
      </c>
      <c r="D46" s="2" t="n">
        <v>10</v>
      </c>
      <c r="E46" s="2" t="n">
        <v>10</v>
      </c>
      <c r="F46" s="4" t="n">
        <v>98</v>
      </c>
      <c r="G46" s="4" t="n">
        <v>0</v>
      </c>
      <c r="H46" s="4">
        <f>F46+G46</f>
        <v/>
      </c>
      <c r="I46" s="5" t="n">
        <v>845</v>
      </c>
      <c r="J46" s="5">
        <f>H46*10.0</f>
        <v/>
      </c>
      <c r="K46" s="5">
        <f>(H46*2.0*10.0*10.0)/12</f>
        <v/>
      </c>
      <c r="L46" s="6">
        <f>(K46*I46)/1000</f>
        <v/>
      </c>
      <c r="M46" s="6">
        <f>L46*1.0</f>
        <v/>
      </c>
      <c r="N46" s="4" t="n">
        <v>0</v>
      </c>
      <c r="O46" s="2" t="inlineStr"/>
      <c r="P46" s="4">
        <f>SUM(N46:N46)</f>
        <v/>
      </c>
      <c r="Q46" s="5">
        <f>P46*10.0</f>
        <v/>
      </c>
      <c r="R46" s="5">
        <f>(P46*2.0*10.0*10.0)/12</f>
        <v/>
      </c>
      <c r="S46" s="6">
        <f>(R46*I46)/1000</f>
        <v/>
      </c>
      <c r="T46" s="6">
        <f>S46*1.0</f>
        <v/>
      </c>
      <c r="U46" s="4">
        <f>H46-P46</f>
        <v/>
      </c>
      <c r="V46" s="5">
        <f>U46*10.0</f>
        <v/>
      </c>
      <c r="W46" s="5">
        <f>(U46*2.0*10.0*10.0)/12</f>
        <v/>
      </c>
      <c r="X46" s="6">
        <f>(W46*I46)/1000</f>
        <v/>
      </c>
      <c r="Y46" s="6">
        <f>X46*1.0</f>
        <v/>
      </c>
      <c r="Z46" s="5" t="n">
        <v>0</v>
      </c>
      <c r="AA46" s="5">
        <f>Q46-Z46</f>
        <v/>
      </c>
      <c r="AB46" s="6">
        <f>((AA46*2.0*10.0)/12*I46)/1000</f>
        <v/>
      </c>
    </row>
    <row r="47">
      <c r="A47" s="2" t="inlineStr">
        <is>
          <t>Lumber</t>
        </is>
      </c>
      <c r="B47" s="3" t="inlineStr">
        <is>
          <t>2 x 10 12 DFL#2</t>
        </is>
      </c>
      <c r="C47" s="2" t="n">
        <v>2</v>
      </c>
      <c r="D47" s="2" t="n">
        <v>10</v>
      </c>
      <c r="E47" s="2" t="n">
        <v>12</v>
      </c>
      <c r="F47" s="4" t="n">
        <v>319</v>
      </c>
      <c r="G47" s="4" t="n">
        <v>0</v>
      </c>
      <c r="H47" s="4">
        <f>F47+G47</f>
        <v/>
      </c>
      <c r="I47" s="5" t="n">
        <v>845</v>
      </c>
      <c r="J47" s="5">
        <f>H47*12.0</f>
        <v/>
      </c>
      <c r="K47" s="5">
        <f>(H47*2.0*10.0*12.0)/12</f>
        <v/>
      </c>
      <c r="L47" s="6">
        <f>(K47*I47)/1000</f>
        <v/>
      </c>
      <c r="M47" s="6">
        <f>L47*1.0</f>
        <v/>
      </c>
      <c r="N47" s="4" t="n">
        <v>0</v>
      </c>
      <c r="O47" s="2" t="inlineStr"/>
      <c r="P47" s="4">
        <f>SUM(N47:N47)</f>
        <v/>
      </c>
      <c r="Q47" s="5">
        <f>P47*12.0</f>
        <v/>
      </c>
      <c r="R47" s="5">
        <f>(P47*2.0*10.0*12.0)/12</f>
        <v/>
      </c>
      <c r="S47" s="6">
        <f>(R47*I47)/1000</f>
        <v/>
      </c>
      <c r="T47" s="6">
        <f>S47*1.0</f>
        <v/>
      </c>
      <c r="U47" s="4">
        <f>H47-P47</f>
        <v/>
      </c>
      <c r="V47" s="5">
        <f>U47*12.0</f>
        <v/>
      </c>
      <c r="W47" s="5">
        <f>(U47*2.0*10.0*12.0)/12</f>
        <v/>
      </c>
      <c r="X47" s="6">
        <f>(W47*I47)/1000</f>
        <v/>
      </c>
      <c r="Y47" s="6">
        <f>X47*1.0</f>
        <v/>
      </c>
      <c r="Z47" s="5" t="n">
        <v>0</v>
      </c>
      <c r="AA47" s="5">
        <f>Q47-Z47</f>
        <v/>
      </c>
      <c r="AB47" s="6">
        <f>((AA47*2.0*10.0)/12*I47)/1000</f>
        <v/>
      </c>
    </row>
    <row r="48">
      <c r="A48" s="2" t="inlineStr">
        <is>
          <t>Lumber</t>
        </is>
      </c>
      <c r="B48" s="3" t="inlineStr">
        <is>
          <t>2 x 10 14 DFL#2</t>
        </is>
      </c>
      <c r="C48" s="2" t="n">
        <v>2</v>
      </c>
      <c r="D48" s="2" t="n">
        <v>10</v>
      </c>
      <c r="E48" s="2" t="n">
        <v>14</v>
      </c>
      <c r="F48" s="4" t="n">
        <v>3</v>
      </c>
      <c r="G48" s="4" t="n">
        <v>0</v>
      </c>
      <c r="H48" s="4">
        <f>F48+G48</f>
        <v/>
      </c>
      <c r="I48" s="5" t="n">
        <v>845</v>
      </c>
      <c r="J48" s="5">
        <f>H48*14.0</f>
        <v/>
      </c>
      <c r="K48" s="5">
        <f>(H48*2.0*10.0*14.0)/12</f>
        <v/>
      </c>
      <c r="L48" s="6">
        <f>(K48*I48)/1000</f>
        <v/>
      </c>
      <c r="M48" s="6">
        <f>L48*1.0</f>
        <v/>
      </c>
      <c r="N48" s="4" t="n">
        <v>0</v>
      </c>
      <c r="O48" s="2" t="inlineStr"/>
      <c r="P48" s="4">
        <f>SUM(N48:N48)</f>
        <v/>
      </c>
      <c r="Q48" s="5">
        <f>P48*14.0</f>
        <v/>
      </c>
      <c r="R48" s="5">
        <f>(P48*2.0*10.0*14.0)/12</f>
        <v/>
      </c>
      <c r="S48" s="6">
        <f>(R48*I48)/1000</f>
        <v/>
      </c>
      <c r="T48" s="6">
        <f>S48*1.0</f>
        <v/>
      </c>
      <c r="U48" s="4">
        <f>H48-P48</f>
        <v/>
      </c>
      <c r="V48" s="5">
        <f>U48*14.0</f>
        <v/>
      </c>
      <c r="W48" s="5">
        <f>(U48*2.0*10.0*14.0)/12</f>
        <v/>
      </c>
      <c r="X48" s="6">
        <f>(W48*I48)/1000</f>
        <v/>
      </c>
      <c r="Y48" s="6">
        <f>X48*1.0</f>
        <v/>
      </c>
      <c r="Z48" s="5" t="n">
        <v>0</v>
      </c>
      <c r="AA48" s="5">
        <f>Q48-Z48</f>
        <v/>
      </c>
      <c r="AB48" s="6">
        <f>((AA48*2.0*10.0)/12*I48)/1000</f>
        <v/>
      </c>
    </row>
    <row r="49">
      <c r="A49" s="2" t="inlineStr">
        <is>
          <t>Lumber</t>
        </is>
      </c>
      <c r="B49" s="3" t="inlineStr">
        <is>
          <t>2 x 12 8 DFL#2</t>
        </is>
      </c>
      <c r="C49" s="2" t="n">
        <v>2</v>
      </c>
      <c r="D49" s="2" t="n">
        <v>12</v>
      </c>
      <c r="E49" s="2" t="n">
        <v>8</v>
      </c>
      <c r="F49" s="4" t="n">
        <v>5</v>
      </c>
      <c r="G49" s="4" t="n">
        <v>0</v>
      </c>
      <c r="H49" s="4">
        <f>F49+G49</f>
        <v/>
      </c>
      <c r="I49" s="5" t="n">
        <v>1049</v>
      </c>
      <c r="J49" s="5">
        <f>H49*8.0</f>
        <v/>
      </c>
      <c r="K49" s="5">
        <f>(H49*2.0*12.0*8.0)/12</f>
        <v/>
      </c>
      <c r="L49" s="6">
        <f>(K49*I49)/1000</f>
        <v/>
      </c>
      <c r="M49" s="6">
        <f>L49*1.0</f>
        <v/>
      </c>
      <c r="N49" s="4" t="n">
        <v>0</v>
      </c>
      <c r="O49" s="2" t="inlineStr"/>
      <c r="P49" s="4">
        <f>SUM(N49:N49)</f>
        <v/>
      </c>
      <c r="Q49" s="5">
        <f>P49*8.0</f>
        <v/>
      </c>
      <c r="R49" s="5">
        <f>(P49*2.0*12.0*8.0)/12</f>
        <v/>
      </c>
      <c r="S49" s="6">
        <f>(R49*I49)/1000</f>
        <v/>
      </c>
      <c r="T49" s="6">
        <f>S49*1.0</f>
        <v/>
      </c>
      <c r="U49" s="4">
        <f>H49-P49</f>
        <v/>
      </c>
      <c r="V49" s="5">
        <f>U49*8.0</f>
        <v/>
      </c>
      <c r="W49" s="5">
        <f>(U49*2.0*12.0*8.0)/12</f>
        <v/>
      </c>
      <c r="X49" s="6">
        <f>(W49*I49)/1000</f>
        <v/>
      </c>
      <c r="Y49" s="6">
        <f>X49*1.0</f>
        <v/>
      </c>
      <c r="Z49" s="5" t="n">
        <v>0</v>
      </c>
      <c r="AA49" s="5">
        <f>Q49-Z49</f>
        <v/>
      </c>
      <c r="AB49" s="6">
        <f>((AA49*2.0*12.0)/12*I49)/1000</f>
        <v/>
      </c>
    </row>
    <row r="50">
      <c r="A50" s="2" t="inlineStr">
        <is>
          <t>Lumber</t>
        </is>
      </c>
      <c r="B50" s="3" t="inlineStr">
        <is>
          <t>2 x 12 8 DFL#2</t>
        </is>
      </c>
      <c r="C50" s="2" t="n">
        <v>2</v>
      </c>
      <c r="D50" s="2" t="n">
        <v>12</v>
      </c>
      <c r="E50" s="2" t="n">
        <v>8</v>
      </c>
      <c r="F50" s="4" t="n">
        <v>70</v>
      </c>
      <c r="G50" s="4" t="n">
        <v>0</v>
      </c>
      <c r="H50" s="4">
        <f>F50+G50</f>
        <v/>
      </c>
      <c r="I50" s="5" t="n">
        <v>1049</v>
      </c>
      <c r="J50" s="5">
        <f>H50*8.0</f>
        <v/>
      </c>
      <c r="K50" s="5">
        <f>(H50*2.0*12.0*8.0)/12</f>
        <v/>
      </c>
      <c r="L50" s="6">
        <f>(K50*I50)/1000</f>
        <v/>
      </c>
      <c r="M50" s="6">
        <f>L50*1.0</f>
        <v/>
      </c>
      <c r="N50" s="4" t="n">
        <v>0</v>
      </c>
      <c r="O50" s="2" t="inlineStr"/>
      <c r="P50" s="4">
        <f>SUM(N50:N50)</f>
        <v/>
      </c>
      <c r="Q50" s="5">
        <f>P50*8.0</f>
        <v/>
      </c>
      <c r="R50" s="5">
        <f>(P50*2.0*12.0*8.0)/12</f>
        <v/>
      </c>
      <c r="S50" s="6">
        <f>(R50*I50)/1000</f>
        <v/>
      </c>
      <c r="T50" s="6">
        <f>S50*1.0</f>
        <v/>
      </c>
      <c r="U50" s="4">
        <f>H50-P50</f>
        <v/>
      </c>
      <c r="V50" s="5">
        <f>U50*8.0</f>
        <v/>
      </c>
      <c r="W50" s="5">
        <f>(U50*2.0*12.0*8.0)/12</f>
        <v/>
      </c>
      <c r="X50" s="6">
        <f>(W50*I50)/1000</f>
        <v/>
      </c>
      <c r="Y50" s="6">
        <f>X50*1.0</f>
        <v/>
      </c>
      <c r="Z50" s="5" t="n">
        <v>0</v>
      </c>
      <c r="AA50" s="5">
        <f>Q50-Z50</f>
        <v/>
      </c>
      <c r="AB50" s="6">
        <f>((AA50*2.0*12.0)/12*I50)/1000</f>
        <v/>
      </c>
    </row>
    <row r="51">
      <c r="A51" s="2" t="inlineStr">
        <is>
          <t>Lumber</t>
        </is>
      </c>
      <c r="B51" s="3" t="inlineStr">
        <is>
          <t>2 x 12 10 DFL#2</t>
        </is>
      </c>
      <c r="C51" s="2" t="n">
        <v>2</v>
      </c>
      <c r="D51" s="2" t="n">
        <v>12</v>
      </c>
      <c r="E51" s="2" t="n">
        <v>10</v>
      </c>
      <c r="F51" s="4" t="n">
        <v>147</v>
      </c>
      <c r="G51" s="4" t="n">
        <v>0</v>
      </c>
      <c r="H51" s="4">
        <f>F51+G51</f>
        <v/>
      </c>
      <c r="I51" s="5" t="n">
        <v>1049</v>
      </c>
      <c r="J51" s="5">
        <f>H51*10.0</f>
        <v/>
      </c>
      <c r="K51" s="5">
        <f>(H51*2.0*12.0*10.0)/12</f>
        <v/>
      </c>
      <c r="L51" s="6">
        <f>(K51*I51)/1000</f>
        <v/>
      </c>
      <c r="M51" s="6">
        <f>L51*1.0</f>
        <v/>
      </c>
      <c r="N51" s="4" t="n">
        <v>0</v>
      </c>
      <c r="O51" s="2" t="inlineStr"/>
      <c r="P51" s="4">
        <f>SUM(N51:N51)</f>
        <v/>
      </c>
      <c r="Q51" s="5">
        <f>P51*10.0</f>
        <v/>
      </c>
      <c r="R51" s="5">
        <f>(P51*2.0*12.0*10.0)/12</f>
        <v/>
      </c>
      <c r="S51" s="6">
        <f>(R51*I51)/1000</f>
        <v/>
      </c>
      <c r="T51" s="6">
        <f>S51*1.0</f>
        <v/>
      </c>
      <c r="U51" s="4">
        <f>H51-P51</f>
        <v/>
      </c>
      <c r="V51" s="5">
        <f>U51*10.0</f>
        <v/>
      </c>
      <c r="W51" s="5">
        <f>(U51*2.0*12.0*10.0)/12</f>
        <v/>
      </c>
      <c r="X51" s="6">
        <f>(W51*I51)/1000</f>
        <v/>
      </c>
      <c r="Y51" s="6">
        <f>X51*1.0</f>
        <v/>
      </c>
      <c r="Z51" s="5" t="n">
        <v>0</v>
      </c>
      <c r="AA51" s="5">
        <f>Q51-Z51</f>
        <v/>
      </c>
      <c r="AB51" s="6">
        <f>((AA51*2.0*12.0)/12*I51)/1000</f>
        <v/>
      </c>
    </row>
    <row r="52">
      <c r="A52" s="2" t="inlineStr">
        <is>
          <t>Lumber</t>
        </is>
      </c>
      <c r="B52" s="3" t="inlineStr">
        <is>
          <t>2 x 12 12 DFL#2</t>
        </is>
      </c>
      <c r="C52" s="2" t="n">
        <v>2</v>
      </c>
      <c r="D52" s="2" t="n">
        <v>12</v>
      </c>
      <c r="E52" s="2" t="n">
        <v>12</v>
      </c>
      <c r="F52" s="4" t="n">
        <v>398</v>
      </c>
      <c r="G52" s="4" t="n">
        <v>0</v>
      </c>
      <c r="H52" s="4">
        <f>F52+G52</f>
        <v/>
      </c>
      <c r="I52" s="5" t="n">
        <v>1049</v>
      </c>
      <c r="J52" s="5">
        <f>H52*12.0</f>
        <v/>
      </c>
      <c r="K52" s="5">
        <f>(H52*2.0*12.0*12.0)/12</f>
        <v/>
      </c>
      <c r="L52" s="6">
        <f>(K52*I52)/1000</f>
        <v/>
      </c>
      <c r="M52" s="6">
        <f>L52*1.0</f>
        <v/>
      </c>
      <c r="N52" s="4" t="n">
        <v>0</v>
      </c>
      <c r="O52" s="2" t="inlineStr"/>
      <c r="P52" s="4">
        <f>SUM(N52:N52)</f>
        <v/>
      </c>
      <c r="Q52" s="5">
        <f>P52*12.0</f>
        <v/>
      </c>
      <c r="R52" s="5">
        <f>(P52*2.0*12.0*12.0)/12</f>
        <v/>
      </c>
      <c r="S52" s="6">
        <f>(R52*I52)/1000</f>
        <v/>
      </c>
      <c r="T52" s="6">
        <f>S52*1.0</f>
        <v/>
      </c>
      <c r="U52" s="4">
        <f>H52-P52</f>
        <v/>
      </c>
      <c r="V52" s="5">
        <f>U52*12.0</f>
        <v/>
      </c>
      <c r="W52" s="5">
        <f>(U52*2.0*12.0*12.0)/12</f>
        <v/>
      </c>
      <c r="X52" s="6">
        <f>(W52*I52)/1000</f>
        <v/>
      </c>
      <c r="Y52" s="6">
        <f>X52*1.0</f>
        <v/>
      </c>
      <c r="Z52" s="5" t="n">
        <v>0</v>
      </c>
      <c r="AA52" s="5">
        <f>Q52-Z52</f>
        <v/>
      </c>
      <c r="AB52" s="6">
        <f>((AA52*2.0*12.0)/12*I52)/1000</f>
        <v/>
      </c>
    </row>
    <row r="53">
      <c r="A53" s="2" t="inlineStr">
        <is>
          <t>Lumber</t>
        </is>
      </c>
      <c r="B53" s="3" t="inlineStr">
        <is>
          <t>2 x 12 12 DFL#2</t>
        </is>
      </c>
      <c r="C53" s="2" t="n">
        <v>2</v>
      </c>
      <c r="D53" s="2" t="n">
        <v>12</v>
      </c>
      <c r="E53" s="2" t="n">
        <v>12</v>
      </c>
      <c r="F53" s="4" t="n">
        <v>26</v>
      </c>
      <c r="G53" s="4" t="n">
        <v>0</v>
      </c>
      <c r="H53" s="4">
        <f>F53+G53</f>
        <v/>
      </c>
      <c r="I53" s="5" t="n">
        <v>1049</v>
      </c>
      <c r="J53" s="5">
        <f>H53*12.0</f>
        <v/>
      </c>
      <c r="K53" s="5">
        <f>(H53*2.0*12.0*12.0)/12</f>
        <v/>
      </c>
      <c r="L53" s="6">
        <f>(K53*I53)/1000</f>
        <v/>
      </c>
      <c r="M53" s="6">
        <f>L53*1.0</f>
        <v/>
      </c>
      <c r="N53" s="4" t="n">
        <v>0</v>
      </c>
      <c r="O53" s="2" t="inlineStr"/>
      <c r="P53" s="4">
        <f>SUM(N53:N53)</f>
        <v/>
      </c>
      <c r="Q53" s="5">
        <f>P53*12.0</f>
        <v/>
      </c>
      <c r="R53" s="5">
        <f>(P53*2.0*12.0*12.0)/12</f>
        <v/>
      </c>
      <c r="S53" s="6">
        <f>(R53*I53)/1000</f>
        <v/>
      </c>
      <c r="T53" s="6">
        <f>S53*1.0</f>
        <v/>
      </c>
      <c r="U53" s="4">
        <f>H53-P53</f>
        <v/>
      </c>
      <c r="V53" s="5">
        <f>U53*12.0</f>
        <v/>
      </c>
      <c r="W53" s="5">
        <f>(U53*2.0*12.0*12.0)/12</f>
        <v/>
      </c>
      <c r="X53" s="6">
        <f>(W53*I53)/1000</f>
        <v/>
      </c>
      <c r="Y53" s="6">
        <f>X53*1.0</f>
        <v/>
      </c>
      <c r="Z53" s="5" t="n">
        <v>0</v>
      </c>
      <c r="AA53" s="5">
        <f>Q53-Z53</f>
        <v/>
      </c>
      <c r="AB53" s="6">
        <f>((AA53*2.0*12.0)/12*I53)/1000</f>
        <v/>
      </c>
    </row>
    <row r="54">
      <c r="A54" s="2" t="inlineStr">
        <is>
          <t>Lumber</t>
        </is>
      </c>
      <c r="B54" s="3" t="inlineStr">
        <is>
          <t>2 x 12 14 DFL#2</t>
        </is>
      </c>
      <c r="C54" s="2" t="n">
        <v>2</v>
      </c>
      <c r="D54" s="2" t="n">
        <v>12</v>
      </c>
      <c r="E54" s="2" t="n">
        <v>14</v>
      </c>
      <c r="F54" s="4" t="n">
        <v>89</v>
      </c>
      <c r="G54" s="4" t="n">
        <v>0</v>
      </c>
      <c r="H54" s="4">
        <f>F54+G54</f>
        <v/>
      </c>
      <c r="I54" s="5" t="n">
        <v>1049</v>
      </c>
      <c r="J54" s="5">
        <f>H54*14.0</f>
        <v/>
      </c>
      <c r="K54" s="5">
        <f>(H54*2.0*12.0*14.0)/12</f>
        <v/>
      </c>
      <c r="L54" s="6">
        <f>(K54*I54)/1000</f>
        <v/>
      </c>
      <c r="M54" s="6">
        <f>L54*1.0</f>
        <v/>
      </c>
      <c r="N54" s="4" t="n">
        <v>0</v>
      </c>
      <c r="O54" s="2" t="inlineStr"/>
      <c r="P54" s="4">
        <f>SUM(N54:N54)</f>
        <v/>
      </c>
      <c r="Q54" s="5">
        <f>P54*14.0</f>
        <v/>
      </c>
      <c r="R54" s="5">
        <f>(P54*2.0*12.0*14.0)/12</f>
        <v/>
      </c>
      <c r="S54" s="6">
        <f>(R54*I54)/1000</f>
        <v/>
      </c>
      <c r="T54" s="6">
        <f>S54*1.0</f>
        <v/>
      </c>
      <c r="U54" s="4">
        <f>H54-P54</f>
        <v/>
      </c>
      <c r="V54" s="5">
        <f>U54*14.0</f>
        <v/>
      </c>
      <c r="W54" s="5">
        <f>(U54*2.0*12.0*14.0)/12</f>
        <v/>
      </c>
      <c r="X54" s="6">
        <f>(W54*I54)/1000</f>
        <v/>
      </c>
      <c r="Y54" s="6">
        <f>X54*1.0</f>
        <v/>
      </c>
      <c r="Z54" s="5" t="n">
        <v>0</v>
      </c>
      <c r="AA54" s="5">
        <f>Q54-Z54</f>
        <v/>
      </c>
      <c r="AB54" s="6">
        <f>((AA54*2.0*12.0)/12*I54)/1000</f>
        <v/>
      </c>
    </row>
    <row r="55">
      <c r="A55" s="2" t="inlineStr">
        <is>
          <t>Lumber</t>
        </is>
      </c>
      <c r="B55" s="3" t="inlineStr">
        <is>
          <t>2 x 12 16 DFL#2</t>
        </is>
      </c>
      <c r="C55" s="2" t="n">
        <v>2</v>
      </c>
      <c r="D55" s="2" t="n">
        <v>12</v>
      </c>
      <c r="E55" s="2" t="n">
        <v>16</v>
      </c>
      <c r="F55" s="4" t="n">
        <v>257</v>
      </c>
      <c r="G55" s="4" t="n">
        <v>0</v>
      </c>
      <c r="H55" s="4">
        <f>F55+G55</f>
        <v/>
      </c>
      <c r="I55" s="5" t="n">
        <v>1049</v>
      </c>
      <c r="J55" s="5">
        <f>H55*16.0</f>
        <v/>
      </c>
      <c r="K55" s="5">
        <f>(H55*2.0*12.0*16.0)/12</f>
        <v/>
      </c>
      <c r="L55" s="6">
        <f>(K55*I55)/1000</f>
        <v/>
      </c>
      <c r="M55" s="6">
        <f>L55*1.0</f>
        <v/>
      </c>
      <c r="N55" s="4" t="n">
        <v>0</v>
      </c>
      <c r="O55" s="2" t="inlineStr"/>
      <c r="P55" s="4">
        <f>SUM(N55:N55)</f>
        <v/>
      </c>
      <c r="Q55" s="5">
        <f>P55*16.0</f>
        <v/>
      </c>
      <c r="R55" s="5">
        <f>(P55*2.0*12.0*16.0)/12</f>
        <v/>
      </c>
      <c r="S55" s="6">
        <f>(R55*I55)/1000</f>
        <v/>
      </c>
      <c r="T55" s="6">
        <f>S55*1.0</f>
        <v/>
      </c>
      <c r="U55" s="4">
        <f>H55-P55</f>
        <v/>
      </c>
      <c r="V55" s="5">
        <f>U55*16.0</f>
        <v/>
      </c>
      <c r="W55" s="5">
        <f>(U55*2.0*12.0*16.0)/12</f>
        <v/>
      </c>
      <c r="X55" s="6">
        <f>(W55*I55)/1000</f>
        <v/>
      </c>
      <c r="Y55" s="6">
        <f>X55*1.0</f>
        <v/>
      </c>
      <c r="Z55" s="5" t="n">
        <v>0</v>
      </c>
      <c r="AA55" s="5">
        <f>Q55-Z55</f>
        <v/>
      </c>
      <c r="AB55" s="6">
        <f>((AA55*2.0*12.0)/12*I55)/1000</f>
        <v/>
      </c>
    </row>
    <row r="56">
      <c r="A56" s="2" t="inlineStr">
        <is>
          <t>Lumber</t>
        </is>
      </c>
      <c r="B56" s="3" t="inlineStr">
        <is>
          <t>2 x 12 18 DFL#2</t>
        </is>
      </c>
      <c r="C56" s="2" t="n">
        <v>2</v>
      </c>
      <c r="D56" s="2" t="n">
        <v>12</v>
      </c>
      <c r="E56" s="2" t="n">
        <v>18</v>
      </c>
      <c r="F56" s="4" t="n">
        <v>35</v>
      </c>
      <c r="G56" s="4" t="n">
        <v>0</v>
      </c>
      <c r="H56" s="4">
        <f>F56+G56</f>
        <v/>
      </c>
      <c r="I56" s="5" t="n">
        <v>1049</v>
      </c>
      <c r="J56" s="5">
        <f>H56*18.0</f>
        <v/>
      </c>
      <c r="K56" s="5">
        <f>(H56*2.0*12.0*18.0)/12</f>
        <v/>
      </c>
      <c r="L56" s="6">
        <f>(K56*I56)/1000</f>
        <v/>
      </c>
      <c r="M56" s="6">
        <f>L56*1.0</f>
        <v/>
      </c>
      <c r="N56" s="4" t="n">
        <v>0</v>
      </c>
      <c r="O56" s="2" t="inlineStr"/>
      <c r="P56" s="4">
        <f>SUM(N56:N56)</f>
        <v/>
      </c>
      <c r="Q56" s="5">
        <f>P56*18.0</f>
        <v/>
      </c>
      <c r="R56" s="5">
        <f>(P56*2.0*12.0*18.0)/12</f>
        <v/>
      </c>
      <c r="S56" s="6">
        <f>(R56*I56)/1000</f>
        <v/>
      </c>
      <c r="T56" s="6">
        <f>S56*1.0</f>
        <v/>
      </c>
      <c r="U56" s="4">
        <f>H56-P56</f>
        <v/>
      </c>
      <c r="V56" s="5">
        <f>U56*18.0</f>
        <v/>
      </c>
      <c r="W56" s="5">
        <f>(U56*2.0*12.0*18.0)/12</f>
        <v/>
      </c>
      <c r="X56" s="6">
        <f>(W56*I56)/1000</f>
        <v/>
      </c>
      <c r="Y56" s="6">
        <f>X56*1.0</f>
        <v/>
      </c>
      <c r="Z56" s="5" t="n">
        <v>0</v>
      </c>
      <c r="AA56" s="5">
        <f>Q56-Z56</f>
        <v/>
      </c>
      <c r="AB56" s="6">
        <f>((AA56*2.0*12.0)/12*I56)/1000</f>
        <v/>
      </c>
    </row>
    <row r="57">
      <c r="A57" s="2" t="inlineStr">
        <is>
          <t>Lumber</t>
        </is>
      </c>
      <c r="B57" s="3" t="inlineStr">
        <is>
          <t>2 x 4 9 DFL#2 PET 104-5/8</t>
        </is>
      </c>
      <c r="C57" s="2" t="n">
        <v>2</v>
      </c>
      <c r="D57" s="2" t="n">
        <v>4</v>
      </c>
      <c r="E57" s="2" t="n">
        <v>9</v>
      </c>
      <c r="F57" s="4" t="n">
        <v>25812</v>
      </c>
      <c r="G57" s="4" t="n">
        <v>0</v>
      </c>
      <c r="H57" s="4">
        <f>F57+G57</f>
        <v/>
      </c>
      <c r="I57" s="5" t="n">
        <v>665</v>
      </c>
      <c r="J57" s="5">
        <f>H57*9.0</f>
        <v/>
      </c>
      <c r="K57" s="5">
        <f>(H57*2.0*4.0*9.0)/12</f>
        <v/>
      </c>
      <c r="L57" s="6">
        <f>(K57*I57)/1000</f>
        <v/>
      </c>
      <c r="M57" s="6">
        <f>L57*1.0</f>
        <v/>
      </c>
      <c r="N57" s="4" t="n">
        <v>0</v>
      </c>
      <c r="O57" s="2" t="inlineStr"/>
      <c r="P57" s="4">
        <f>SUM(N57:N57)</f>
        <v/>
      </c>
      <c r="Q57" s="5">
        <f>P57*9.0</f>
        <v/>
      </c>
      <c r="R57" s="5">
        <f>(P57*2.0*4.0*9.0)/12</f>
        <v/>
      </c>
      <c r="S57" s="6">
        <f>(R57*I57)/1000</f>
        <v/>
      </c>
      <c r="T57" s="6">
        <f>S57*1.0</f>
        <v/>
      </c>
      <c r="U57" s="4">
        <f>H57-P57</f>
        <v/>
      </c>
      <c r="V57" s="5">
        <f>U57*9.0</f>
        <v/>
      </c>
      <c r="W57" s="5">
        <f>(U57*2.0*4.0*9.0)/12</f>
        <v/>
      </c>
      <c r="X57" s="6">
        <f>(W57*I57)/1000</f>
        <v/>
      </c>
      <c r="Y57" s="6">
        <f>X57*1.0</f>
        <v/>
      </c>
      <c r="Z57" s="5" t="n">
        <v>0</v>
      </c>
      <c r="AA57" s="5">
        <f>Q57-Z57</f>
        <v/>
      </c>
      <c r="AB57" s="6">
        <f>((AA57*2.0*4.0)/12*I57)/1000</f>
        <v/>
      </c>
    </row>
    <row r="58">
      <c r="A58" s="2" t="inlineStr">
        <is>
          <t>Lumber</t>
        </is>
      </c>
      <c r="B58" s="3" t="inlineStr">
        <is>
          <t>2 x 4 10 DFL#2</t>
        </is>
      </c>
      <c r="C58" s="2" t="n">
        <v>2</v>
      </c>
      <c r="D58" s="2" t="n">
        <v>4</v>
      </c>
      <c r="E58" s="2" t="n">
        <v>10</v>
      </c>
      <c r="F58" s="4" t="n">
        <v>66</v>
      </c>
      <c r="G58" s="4" t="n">
        <v>0</v>
      </c>
      <c r="H58" s="4">
        <f>F58+G58</f>
        <v/>
      </c>
      <c r="I58" s="5" t="n">
        <v>665</v>
      </c>
      <c r="J58" s="5">
        <f>H58*10.0</f>
        <v/>
      </c>
      <c r="K58" s="5">
        <f>(H58*2.0*4.0*10.0)/12</f>
        <v/>
      </c>
      <c r="L58" s="6">
        <f>(K58*I58)/1000</f>
        <v/>
      </c>
      <c r="M58" s="6">
        <f>L58*1.0</f>
        <v/>
      </c>
      <c r="N58" s="4" t="n">
        <v>0</v>
      </c>
      <c r="O58" s="2" t="inlineStr"/>
      <c r="P58" s="4">
        <f>SUM(N58:N58)</f>
        <v/>
      </c>
      <c r="Q58" s="5">
        <f>P58*10.0</f>
        <v/>
      </c>
      <c r="R58" s="5">
        <f>(P58*2.0*4.0*10.0)/12</f>
        <v/>
      </c>
      <c r="S58" s="6">
        <f>(R58*I58)/1000</f>
        <v/>
      </c>
      <c r="T58" s="6">
        <f>S58*1.0</f>
        <v/>
      </c>
      <c r="U58" s="4">
        <f>H58-P58</f>
        <v/>
      </c>
      <c r="V58" s="5">
        <f>U58*10.0</f>
        <v/>
      </c>
      <c r="W58" s="5">
        <f>(U58*2.0*4.0*10.0)/12</f>
        <v/>
      </c>
      <c r="X58" s="6">
        <f>(W58*I58)/1000</f>
        <v/>
      </c>
      <c r="Y58" s="6">
        <f>X58*1.0</f>
        <v/>
      </c>
      <c r="Z58" s="5" t="n">
        <v>0</v>
      </c>
      <c r="AA58" s="5">
        <f>Q58-Z58</f>
        <v/>
      </c>
      <c r="AB58" s="6">
        <f>((AA58*2.0*4.0)/12*I58)/1000</f>
        <v/>
      </c>
    </row>
    <row r="59">
      <c r="A59" s="2" t="inlineStr">
        <is>
          <t>Lumber</t>
        </is>
      </c>
      <c r="B59" s="3" t="inlineStr">
        <is>
          <t>2 x 4 10 DFL#2 PET 116-5/8 (117-3/8)</t>
        </is>
      </c>
      <c r="C59" s="2" t="n">
        <v>2</v>
      </c>
      <c r="D59" s="2" t="n">
        <v>4</v>
      </c>
      <c r="E59" s="2" t="n">
        <v>10</v>
      </c>
      <c r="F59" s="4" t="n">
        <v>33165</v>
      </c>
      <c r="G59" s="4" t="n">
        <v>0</v>
      </c>
      <c r="H59" s="4">
        <f>F59+G59</f>
        <v/>
      </c>
      <c r="I59" s="5" t="n">
        <v>675</v>
      </c>
      <c r="J59" s="5">
        <f>H59*10.0</f>
        <v/>
      </c>
      <c r="K59" s="5">
        <f>(H59*2.0*4.0*10.0)/12</f>
        <v/>
      </c>
      <c r="L59" s="6">
        <f>(K59*I59)/1000</f>
        <v/>
      </c>
      <c r="M59" s="6">
        <f>L59*1.0</f>
        <v/>
      </c>
      <c r="N59" s="4" t="n">
        <v>0</v>
      </c>
      <c r="O59" s="2" t="inlineStr"/>
      <c r="P59" s="4">
        <f>SUM(N59:N59)</f>
        <v/>
      </c>
      <c r="Q59" s="5">
        <f>P59*10.0</f>
        <v/>
      </c>
      <c r="R59" s="5">
        <f>(P59*2.0*4.0*10.0)/12</f>
        <v/>
      </c>
      <c r="S59" s="6">
        <f>(R59*I59)/1000</f>
        <v/>
      </c>
      <c r="T59" s="6">
        <f>S59*1.0</f>
        <v/>
      </c>
      <c r="U59" s="4">
        <f>H59-P59</f>
        <v/>
      </c>
      <c r="V59" s="5">
        <f>U59*10.0</f>
        <v/>
      </c>
      <c r="W59" s="5">
        <f>(U59*2.0*4.0*10.0)/12</f>
        <v/>
      </c>
      <c r="X59" s="6">
        <f>(W59*I59)/1000</f>
        <v/>
      </c>
      <c r="Y59" s="6">
        <f>X59*1.0</f>
        <v/>
      </c>
      <c r="Z59" s="5" t="n">
        <v>0</v>
      </c>
      <c r="AA59" s="5">
        <f>Q59-Z59</f>
        <v/>
      </c>
      <c r="AB59" s="6">
        <f>((AA59*2.0*4.0)/12*I59)/1000</f>
        <v/>
      </c>
    </row>
    <row r="60">
      <c r="A60" s="2" t="inlineStr">
        <is>
          <t>Lumber</t>
        </is>
      </c>
      <c r="B60" s="3" t="inlineStr">
        <is>
          <t>2 x 4 10 DFL#2 PET 115-7/8</t>
        </is>
      </c>
      <c r="C60" s="2" t="n">
        <v>2</v>
      </c>
      <c r="D60" s="2" t="n">
        <v>4</v>
      </c>
      <c r="E60" s="2" t="n">
        <v>10</v>
      </c>
      <c r="F60" s="4" t="n">
        <v>23671</v>
      </c>
      <c r="G60" s="4" t="n">
        <v>0</v>
      </c>
      <c r="H60" s="4">
        <f>F60+G60</f>
        <v/>
      </c>
      <c r="I60" s="5" t="n">
        <v>675</v>
      </c>
      <c r="J60" s="5">
        <f>H60*10.0</f>
        <v/>
      </c>
      <c r="K60" s="5">
        <f>(H60*2.0*4.0*10.0)/12</f>
        <v/>
      </c>
      <c r="L60" s="6">
        <f>(K60*I60)/1000</f>
        <v/>
      </c>
      <c r="M60" s="6">
        <f>L60*1.0</f>
        <v/>
      </c>
      <c r="N60" s="4" t="n">
        <v>0</v>
      </c>
      <c r="O60" s="2" t="inlineStr"/>
      <c r="P60" s="4">
        <f>SUM(N60:N60)</f>
        <v/>
      </c>
      <c r="Q60" s="5">
        <f>P60*10.0</f>
        <v/>
      </c>
      <c r="R60" s="5">
        <f>(P60*2.0*4.0*10.0)/12</f>
        <v/>
      </c>
      <c r="S60" s="6">
        <f>(R60*I60)/1000</f>
        <v/>
      </c>
      <c r="T60" s="6">
        <f>S60*1.0</f>
        <v/>
      </c>
      <c r="U60" s="4">
        <f>H60-P60</f>
        <v/>
      </c>
      <c r="V60" s="5">
        <f>U60*10.0</f>
        <v/>
      </c>
      <c r="W60" s="5">
        <f>(U60*2.0*4.0*10.0)/12</f>
        <v/>
      </c>
      <c r="X60" s="6">
        <f>(W60*I60)/1000</f>
        <v/>
      </c>
      <c r="Y60" s="6">
        <f>X60*1.0</f>
        <v/>
      </c>
      <c r="Z60" s="5" t="n">
        <v>0</v>
      </c>
      <c r="AA60" s="5">
        <f>Q60-Z60</f>
        <v/>
      </c>
      <c r="AB60" s="6">
        <f>((AA60*2.0*4.0)/12*I60)/1000</f>
        <v/>
      </c>
    </row>
    <row r="61">
      <c r="A61" s="2" t="inlineStr">
        <is>
          <t>Lumber</t>
        </is>
      </c>
      <c r="B61" s="3" t="inlineStr">
        <is>
          <t>2 x 4 12 DFL#2</t>
        </is>
      </c>
      <c r="C61" s="2" t="n">
        <v>2</v>
      </c>
      <c r="D61" s="2" t="n">
        <v>4</v>
      </c>
      <c r="E61" s="2" t="n">
        <v>12</v>
      </c>
      <c r="F61" s="4" t="n">
        <v>3018</v>
      </c>
      <c r="G61" s="4" t="n">
        <v>0</v>
      </c>
      <c r="H61" s="4">
        <f>F61+G61</f>
        <v/>
      </c>
      <c r="I61" s="5" t="n">
        <v>665</v>
      </c>
      <c r="J61" s="5">
        <f>H61*12.0</f>
        <v/>
      </c>
      <c r="K61" s="5">
        <f>(H61*2.0*4.0*12.0)/12</f>
        <v/>
      </c>
      <c r="L61" s="6">
        <f>(K61*I61)/1000</f>
        <v/>
      </c>
      <c r="M61" s="6">
        <f>L61*1.0</f>
        <v/>
      </c>
      <c r="N61" s="4" t="n">
        <v>0</v>
      </c>
      <c r="O61" s="2" t="inlineStr"/>
      <c r="P61" s="4">
        <f>SUM(N61:N61)</f>
        <v/>
      </c>
      <c r="Q61" s="5">
        <f>P61*12.0</f>
        <v/>
      </c>
      <c r="R61" s="5">
        <f>(P61*2.0*4.0*12.0)/12</f>
        <v/>
      </c>
      <c r="S61" s="6">
        <f>(R61*I61)/1000</f>
        <v/>
      </c>
      <c r="T61" s="6">
        <f>S61*1.0</f>
        <v/>
      </c>
      <c r="U61" s="4">
        <f>H61-P61</f>
        <v/>
      </c>
      <c r="V61" s="5">
        <f>U61*12.0</f>
        <v/>
      </c>
      <c r="W61" s="5">
        <f>(U61*2.0*4.0*12.0)/12</f>
        <v/>
      </c>
      <c r="X61" s="6">
        <f>(W61*I61)/1000</f>
        <v/>
      </c>
      <c r="Y61" s="6">
        <f>X61*1.0</f>
        <v/>
      </c>
      <c r="Z61" s="5" t="n">
        <v>0</v>
      </c>
      <c r="AA61" s="5">
        <f>Q61-Z61</f>
        <v/>
      </c>
      <c r="AB61" s="6">
        <f>((AA61*2.0*4.0)/12*I61)/1000</f>
        <v/>
      </c>
    </row>
    <row r="62">
      <c r="A62" s="2" t="inlineStr">
        <is>
          <t>Lumber</t>
        </is>
      </c>
      <c r="B62" s="3" t="inlineStr">
        <is>
          <t>2 x 4 22 DFL#2</t>
        </is>
      </c>
      <c r="C62" s="2" t="n">
        <v>2</v>
      </c>
      <c r="D62" s="2" t="n">
        <v>4</v>
      </c>
      <c r="E62" s="2" t="n">
        <v>22</v>
      </c>
      <c r="F62" s="4" t="n">
        <v>237</v>
      </c>
      <c r="G62" s="4" t="n">
        <v>0</v>
      </c>
      <c r="H62" s="4">
        <f>F62+G62</f>
        <v/>
      </c>
      <c r="I62" s="5" t="n">
        <v>1495</v>
      </c>
      <c r="J62" s="5">
        <f>H62*22.0</f>
        <v/>
      </c>
      <c r="K62" s="5">
        <f>(H62*2.0*4.0*22.0)/12</f>
        <v/>
      </c>
      <c r="L62" s="6">
        <f>(K62*I62)/1000</f>
        <v/>
      </c>
      <c r="M62" s="6">
        <f>L62*1.0</f>
        <v/>
      </c>
      <c r="N62" s="4" t="n">
        <v>0</v>
      </c>
      <c r="O62" s="2" t="inlineStr"/>
      <c r="P62" s="4">
        <f>SUM(N62:N62)</f>
        <v/>
      </c>
      <c r="Q62" s="5">
        <f>P62*22.0</f>
        <v/>
      </c>
      <c r="R62" s="5">
        <f>(P62*2.0*4.0*22.0)/12</f>
        <v/>
      </c>
      <c r="S62" s="6">
        <f>(R62*I62)/1000</f>
        <v/>
      </c>
      <c r="T62" s="6">
        <f>S62*1.0</f>
        <v/>
      </c>
      <c r="U62" s="4">
        <f>H62-P62</f>
        <v/>
      </c>
      <c r="V62" s="5">
        <f>U62*22.0</f>
        <v/>
      </c>
      <c r="W62" s="5">
        <f>(U62*2.0*4.0*22.0)/12</f>
        <v/>
      </c>
      <c r="X62" s="6">
        <f>(W62*I62)/1000</f>
        <v/>
      </c>
      <c r="Y62" s="6">
        <f>X62*1.0</f>
        <v/>
      </c>
      <c r="Z62" s="5" t="n">
        <v>0</v>
      </c>
      <c r="AA62" s="5">
        <f>Q62-Z62</f>
        <v/>
      </c>
      <c r="AB62" s="6">
        <f>((AA62*2.0*4.0)/12*I62)/1000</f>
        <v/>
      </c>
    </row>
    <row r="63">
      <c r="A63" s="2" t="inlineStr">
        <is>
          <t>Lumber</t>
        </is>
      </c>
      <c r="B63" s="3" t="inlineStr">
        <is>
          <t>2 x 6 9 DFL#2 PET 104-5/8</t>
        </is>
      </c>
      <c r="C63" s="2" t="n">
        <v>2</v>
      </c>
      <c r="D63" s="2" t="n">
        <v>6</v>
      </c>
      <c r="E63" s="2" t="n">
        <v>9</v>
      </c>
      <c r="F63" s="4" t="n">
        <v>12626</v>
      </c>
      <c r="G63" s="4" t="n">
        <v>0</v>
      </c>
      <c r="H63" s="4">
        <f>F63+G63</f>
        <v/>
      </c>
      <c r="I63" s="5" t="n">
        <v>722</v>
      </c>
      <c r="J63" s="5">
        <f>H63*9.0</f>
        <v/>
      </c>
      <c r="K63" s="5">
        <f>(H63*2.0*6.0*9.0)/12</f>
        <v/>
      </c>
      <c r="L63" s="6">
        <f>(K63*I63)/1000</f>
        <v/>
      </c>
      <c r="M63" s="6">
        <f>L63*1.0</f>
        <v/>
      </c>
      <c r="N63" s="4" t="n">
        <v>0</v>
      </c>
      <c r="O63" s="2" t="inlineStr"/>
      <c r="P63" s="4">
        <f>SUM(N63:N63)</f>
        <v/>
      </c>
      <c r="Q63" s="5">
        <f>P63*9.0</f>
        <v/>
      </c>
      <c r="R63" s="5">
        <f>(P63*2.0*6.0*9.0)/12</f>
        <v/>
      </c>
      <c r="S63" s="6">
        <f>(R63*I63)/1000</f>
        <v/>
      </c>
      <c r="T63" s="6">
        <f>S63*1.0</f>
        <v/>
      </c>
      <c r="U63" s="4">
        <f>H63-P63</f>
        <v/>
      </c>
      <c r="V63" s="5">
        <f>U63*9.0</f>
        <v/>
      </c>
      <c r="W63" s="5">
        <f>(U63*2.0*6.0*9.0)/12</f>
        <v/>
      </c>
      <c r="X63" s="6">
        <f>(W63*I63)/1000</f>
        <v/>
      </c>
      <c r="Y63" s="6">
        <f>X63*1.0</f>
        <v/>
      </c>
      <c r="Z63" s="5" t="n">
        <v>0</v>
      </c>
      <c r="AA63" s="5">
        <f>Q63-Z63</f>
        <v/>
      </c>
      <c r="AB63" s="6">
        <f>((AA63*2.0*6.0)/12*I63)/1000</f>
        <v/>
      </c>
    </row>
    <row r="64">
      <c r="A64" s="2" t="inlineStr">
        <is>
          <t>Lumber</t>
        </is>
      </c>
      <c r="B64" s="3" t="inlineStr">
        <is>
          <t>2 x 6 10 DFL#2 PET 116-5/8 (117-3/8)</t>
        </is>
      </c>
      <c r="C64" s="2" t="n">
        <v>2</v>
      </c>
      <c r="D64" s="2" t="n">
        <v>6</v>
      </c>
      <c r="E64" s="2" t="n">
        <v>10</v>
      </c>
      <c r="F64" s="4" t="n">
        <v>12711</v>
      </c>
      <c r="G64" s="4" t="n">
        <v>0</v>
      </c>
      <c r="H64" s="4">
        <f>F64+G64</f>
        <v/>
      </c>
      <c r="I64" s="5" t="n">
        <v>755</v>
      </c>
      <c r="J64" s="5">
        <f>H64*10.0</f>
        <v/>
      </c>
      <c r="K64" s="5">
        <f>(H64*2.0*6.0*10.0)/12</f>
        <v/>
      </c>
      <c r="L64" s="6">
        <f>(K64*I64)/1000</f>
        <v/>
      </c>
      <c r="M64" s="6">
        <f>L64*1.0</f>
        <v/>
      </c>
      <c r="N64" s="4" t="n">
        <v>0</v>
      </c>
      <c r="O64" s="2" t="inlineStr"/>
      <c r="P64" s="4">
        <f>SUM(N64:N64)</f>
        <v/>
      </c>
      <c r="Q64" s="5">
        <f>P64*10.0</f>
        <v/>
      </c>
      <c r="R64" s="5">
        <f>(P64*2.0*6.0*10.0)/12</f>
        <v/>
      </c>
      <c r="S64" s="6">
        <f>(R64*I64)/1000</f>
        <v/>
      </c>
      <c r="T64" s="6">
        <f>S64*1.0</f>
        <v/>
      </c>
      <c r="U64" s="4">
        <f>H64-P64</f>
        <v/>
      </c>
      <c r="V64" s="5">
        <f>U64*10.0</f>
        <v/>
      </c>
      <c r="W64" s="5">
        <f>(U64*2.0*6.0*10.0)/12</f>
        <v/>
      </c>
      <c r="X64" s="6">
        <f>(W64*I64)/1000</f>
        <v/>
      </c>
      <c r="Y64" s="6">
        <f>X64*1.0</f>
        <v/>
      </c>
      <c r="Z64" s="5" t="n">
        <v>0</v>
      </c>
      <c r="AA64" s="5">
        <f>Q64-Z64</f>
        <v/>
      </c>
      <c r="AB64" s="6">
        <f>((AA64*2.0*6.0)/12*I64)/1000</f>
        <v/>
      </c>
    </row>
    <row r="65">
      <c r="A65" s="2" t="inlineStr">
        <is>
          <t>Lumber</t>
        </is>
      </c>
      <c r="B65" s="3" t="inlineStr">
        <is>
          <t>2 x 6 10 DFL#2 PET 115-7/8</t>
        </is>
      </c>
      <c r="C65" s="2" t="n">
        <v>2</v>
      </c>
      <c r="D65" s="2" t="n">
        <v>6</v>
      </c>
      <c r="E65" s="2" t="n">
        <v>10</v>
      </c>
      <c r="F65" s="4" t="n">
        <v>12708</v>
      </c>
      <c r="G65" s="4" t="n">
        <v>0</v>
      </c>
      <c r="H65" s="4">
        <f>F65+G65</f>
        <v/>
      </c>
      <c r="I65" s="5" t="n">
        <v>755</v>
      </c>
      <c r="J65" s="5">
        <f>H65*10.0</f>
        <v/>
      </c>
      <c r="K65" s="5">
        <f>(H65*2.0*6.0*10.0)/12</f>
        <v/>
      </c>
      <c r="L65" s="6">
        <f>(K65*I65)/1000</f>
        <v/>
      </c>
      <c r="M65" s="6">
        <f>L65*1.0</f>
        <v/>
      </c>
      <c r="N65" s="4" t="n">
        <v>0</v>
      </c>
      <c r="O65" s="2" t="inlineStr"/>
      <c r="P65" s="4">
        <f>SUM(N65:N65)</f>
        <v/>
      </c>
      <c r="Q65" s="5">
        <f>P65*10.0</f>
        <v/>
      </c>
      <c r="R65" s="5">
        <f>(P65*2.0*6.0*10.0)/12</f>
        <v/>
      </c>
      <c r="S65" s="6">
        <f>(R65*I65)/1000</f>
        <v/>
      </c>
      <c r="T65" s="6">
        <f>S65*1.0</f>
        <v/>
      </c>
      <c r="U65" s="4">
        <f>H65-P65</f>
        <v/>
      </c>
      <c r="V65" s="5">
        <f>U65*10.0</f>
        <v/>
      </c>
      <c r="W65" s="5">
        <f>(U65*2.0*6.0*10.0)/12</f>
        <v/>
      </c>
      <c r="X65" s="6">
        <f>(W65*I65)/1000</f>
        <v/>
      </c>
      <c r="Y65" s="6">
        <f>X65*1.0</f>
        <v/>
      </c>
      <c r="Z65" s="5" t="n">
        <v>0</v>
      </c>
      <c r="AA65" s="5">
        <f>Q65-Z65</f>
        <v/>
      </c>
      <c r="AB65" s="6">
        <f>((AA65*2.0*6.0)/12*I65)/1000</f>
        <v/>
      </c>
    </row>
    <row r="66">
      <c r="A66" s="2" t="inlineStr">
        <is>
          <t>Lumber</t>
        </is>
      </c>
      <c r="B66" s="3" t="inlineStr">
        <is>
          <t>2 x 6 22 DFL#2</t>
        </is>
      </c>
      <c r="C66" s="2" t="n">
        <v>2</v>
      </c>
      <c r="D66" s="2" t="n">
        <v>6</v>
      </c>
      <c r="E66" s="2" t="n">
        <v>22</v>
      </c>
      <c r="F66" s="4" t="n">
        <v>190</v>
      </c>
      <c r="G66" s="4" t="n">
        <v>0</v>
      </c>
      <c r="H66" s="4">
        <f>F66+G66</f>
        <v/>
      </c>
      <c r="I66" s="5" t="n">
        <v>831</v>
      </c>
      <c r="J66" s="5">
        <f>H66*22.0</f>
        <v/>
      </c>
      <c r="K66" s="5">
        <f>(H66*2.0*6.0*22.0)/12</f>
        <v/>
      </c>
      <c r="L66" s="6">
        <f>(K66*I66)/1000</f>
        <v/>
      </c>
      <c r="M66" s="6">
        <f>L66*1.0</f>
        <v/>
      </c>
      <c r="N66" s="4" t="n">
        <v>0</v>
      </c>
      <c r="O66" s="2" t="inlineStr"/>
      <c r="P66" s="4">
        <f>SUM(N66:N66)</f>
        <v/>
      </c>
      <c r="Q66" s="5">
        <f>P66*22.0</f>
        <v/>
      </c>
      <c r="R66" s="5">
        <f>(P66*2.0*6.0*22.0)/12</f>
        <v/>
      </c>
      <c r="S66" s="6">
        <f>(R66*I66)/1000</f>
        <v/>
      </c>
      <c r="T66" s="6">
        <f>S66*1.0</f>
        <v/>
      </c>
      <c r="U66" s="4">
        <f>H66-P66</f>
        <v/>
      </c>
      <c r="V66" s="5">
        <f>U66*22.0</f>
        <v/>
      </c>
      <c r="W66" s="5">
        <f>(U66*2.0*6.0*22.0)/12</f>
        <v/>
      </c>
      <c r="X66" s="6">
        <f>(W66*I66)/1000</f>
        <v/>
      </c>
      <c r="Y66" s="6">
        <f>X66*1.0</f>
        <v/>
      </c>
      <c r="Z66" s="5" t="n">
        <v>0</v>
      </c>
      <c r="AA66" s="5">
        <f>Q66-Z66</f>
        <v/>
      </c>
      <c r="AB66" s="6">
        <f>((AA66*2.0*6.0)/12*I66)/1000</f>
        <v/>
      </c>
    </row>
    <row r="67" ht="18" customHeight="1">
      <c r="A67" s="7" t="inlineStr">
        <is>
          <t>LUMBER SUBTOTAL</t>
        </is>
      </c>
      <c r="B67" s="8" t="inlineStr"/>
      <c r="C67" s="8" t="inlineStr"/>
      <c r="D67" s="8" t="inlineStr"/>
      <c r="E67" s="8" t="inlineStr"/>
      <c r="F67" s="9">
        <f>SUM(F2:F66)</f>
        <v/>
      </c>
      <c r="G67" s="9">
        <f>SUM(G2:G66)</f>
        <v/>
      </c>
      <c r="H67" s="9">
        <f>SUM(H2:H66)</f>
        <v/>
      </c>
      <c r="I67" s="8" t="inlineStr"/>
      <c r="J67" s="10">
        <f>SUM(J2:J66)</f>
        <v/>
      </c>
      <c r="K67" s="10">
        <f>SUM(K2:K66)</f>
        <v/>
      </c>
      <c r="L67" s="11">
        <f>SUM(L2:L66)</f>
        <v/>
      </c>
      <c r="M67" s="11">
        <f>SUM(M2:M66)</f>
        <v/>
      </c>
      <c r="N67" s="8">
        <f>SUM(N2:N66)</f>
        <v/>
      </c>
      <c r="O67" s="8" t="inlineStr"/>
      <c r="P67" s="9">
        <f>SUM(P2:P66)</f>
        <v/>
      </c>
      <c r="Q67" s="10">
        <f>SUM(Q2:Q66)</f>
        <v/>
      </c>
      <c r="R67" s="10">
        <f>SUM(R2:R66)</f>
        <v/>
      </c>
      <c r="S67" s="11">
        <f>SUM(S2:S66)</f>
        <v/>
      </c>
      <c r="T67" s="11">
        <f>SUM(T2:T66)</f>
        <v/>
      </c>
      <c r="U67" s="9">
        <f>SUM(U2:U66)</f>
        <v/>
      </c>
      <c r="V67" s="10">
        <f>SUM(V2:V66)</f>
        <v/>
      </c>
      <c r="W67" s="10">
        <f>SUM(W2:W66)</f>
        <v/>
      </c>
      <c r="X67" s="11">
        <f>SUM(X2:X66)</f>
        <v/>
      </c>
      <c r="Y67" s="11">
        <f>SUM(Y2:Y66)</f>
        <v/>
      </c>
      <c r="Z67" s="10">
        <f>SUM(Z2:Z66)</f>
        <v/>
      </c>
      <c r="AA67" s="10">
        <f>SUM(AA2:AA66)</f>
        <v/>
      </c>
      <c r="AB67" s="11">
        <f>SUM(AB2:AB66)</f>
        <v/>
      </c>
    </row>
    <row r="68" ht="5" customHeight="1"/>
    <row r="69">
      <c r="A69" s="12" t="inlineStr">
        <is>
          <t>LVL</t>
        </is>
      </c>
      <c r="B69" s="13" t="inlineStr">
        <is>
          <t>1-3/4 X 18 LVL</t>
        </is>
      </c>
      <c r="C69" s="12" t="n">
        <v>1.75</v>
      </c>
      <c r="D69" s="12" t="n">
        <v>18</v>
      </c>
      <c r="E69" s="12" t="n">
        <v>12</v>
      </c>
      <c r="F69" s="14" t="n">
        <v>4</v>
      </c>
      <c r="G69" s="14" t="n">
        <v>0</v>
      </c>
      <c r="H69" s="14">
        <f>F69+G69</f>
        <v/>
      </c>
      <c r="I69" s="15" t="n">
        <v>10.65</v>
      </c>
      <c r="J69" s="15">
        <f>H69*12.0</f>
        <v/>
      </c>
      <c r="K69" s="15" t="n">
        <v>0</v>
      </c>
      <c r="L69" s="16">
        <f>J69*I69</f>
        <v/>
      </c>
      <c r="M69" s="16">
        <f>L69*1.0</f>
        <v/>
      </c>
      <c r="N69" s="14" t="n">
        <v>4</v>
      </c>
      <c r="O69" s="12" t="inlineStr">
        <is>
          <t>60126015</t>
        </is>
      </c>
      <c r="P69" s="14">
        <f>SUM(N69:N69)</f>
        <v/>
      </c>
      <c r="Q69" s="15">
        <f>P69*12.0</f>
        <v/>
      </c>
      <c r="R69" s="15">
        <f>(P69*1.75*18.0*12.0)/12</f>
        <v/>
      </c>
      <c r="S69" s="16">
        <f>Q69*I69</f>
        <v/>
      </c>
      <c r="T69" s="16">
        <f>S69*1.0</f>
        <v/>
      </c>
      <c r="U69" s="14">
        <f>H69-P69</f>
        <v/>
      </c>
      <c r="V69" s="15">
        <f>U69*12.0</f>
        <v/>
      </c>
      <c r="W69" s="15" t="n">
        <v>0</v>
      </c>
      <c r="X69" s="16">
        <f>V69*I69</f>
        <v/>
      </c>
      <c r="Y69" s="16">
        <f>X69*1.0</f>
        <v/>
      </c>
      <c r="Z69" s="15" t="n">
        <v>0</v>
      </c>
      <c r="AA69" s="15">
        <f>Q69-Z69</f>
        <v/>
      </c>
      <c r="AB69" s="16">
        <f>AA69*I69</f>
        <v/>
      </c>
    </row>
    <row r="70">
      <c r="A70" s="12" t="inlineStr">
        <is>
          <t>LVL</t>
        </is>
      </c>
      <c r="B70" s="13" t="inlineStr">
        <is>
          <t>3-1/2 X 9-1/4 GLB/LVL</t>
        </is>
      </c>
      <c r="C70" s="12" t="n">
        <v>3.5</v>
      </c>
      <c r="D70" s="12" t="n">
        <v>9.25</v>
      </c>
      <c r="E70" s="12" t="n">
        <v>8</v>
      </c>
      <c r="F70" s="14" t="n">
        <v>8</v>
      </c>
      <c r="G70" s="14" t="n">
        <v>0</v>
      </c>
      <c r="H70" s="14">
        <f>F70+G70</f>
        <v/>
      </c>
      <c r="I70" s="15" t="n">
        <v>15.55</v>
      </c>
      <c r="J70" s="15">
        <f>H70*8.0</f>
        <v/>
      </c>
      <c r="K70" s="15" t="n">
        <v>0</v>
      </c>
      <c r="L70" s="16">
        <f>J70*I70</f>
        <v/>
      </c>
      <c r="M70" s="16">
        <f>L70*1.0</f>
        <v/>
      </c>
      <c r="N70" s="14" t="n">
        <v>0</v>
      </c>
      <c r="O70" s="12" t="inlineStr"/>
      <c r="P70" s="14">
        <f>SUM(N70:N70)</f>
        <v/>
      </c>
      <c r="Q70" s="15">
        <f>P70*8.0</f>
        <v/>
      </c>
      <c r="R70" s="15">
        <f>(P70*3.5*9.25*8.0)/12</f>
        <v/>
      </c>
      <c r="S70" s="16">
        <f>Q70*I70</f>
        <v/>
      </c>
      <c r="T70" s="16">
        <f>S70*1.0</f>
        <v/>
      </c>
      <c r="U70" s="14">
        <f>H70-P70</f>
        <v/>
      </c>
      <c r="V70" s="15">
        <f>U70*8.0</f>
        <v/>
      </c>
      <c r="W70" s="15" t="n">
        <v>0</v>
      </c>
      <c r="X70" s="16">
        <f>V70*I70</f>
        <v/>
      </c>
      <c r="Y70" s="16">
        <f>X70*1.0</f>
        <v/>
      </c>
      <c r="Z70" s="15" t="n">
        <v>0</v>
      </c>
      <c r="AA70" s="15">
        <f>Q70-Z70</f>
        <v/>
      </c>
      <c r="AB70" s="16">
        <f>AA70*I70</f>
        <v/>
      </c>
    </row>
    <row r="71">
      <c r="A71" s="12" t="inlineStr">
        <is>
          <t>LVL</t>
        </is>
      </c>
      <c r="B71" s="13" t="inlineStr">
        <is>
          <t>3-1/2 X 9-1/4 GLB/LVL</t>
        </is>
      </c>
      <c r="C71" s="12" t="n">
        <v>3.5</v>
      </c>
      <c r="D71" s="12" t="n">
        <v>9.25</v>
      </c>
      <c r="E71" s="12" t="n">
        <v>8</v>
      </c>
      <c r="F71" s="14" t="n">
        <v>4</v>
      </c>
      <c r="G71" s="14" t="n">
        <v>0</v>
      </c>
      <c r="H71" s="14">
        <f>F71+G71</f>
        <v/>
      </c>
      <c r="I71" s="15" t="n">
        <v>15.55</v>
      </c>
      <c r="J71" s="15">
        <f>H71*8.0</f>
        <v/>
      </c>
      <c r="K71" s="15" t="n">
        <v>0</v>
      </c>
      <c r="L71" s="16">
        <f>J71*I71</f>
        <v/>
      </c>
      <c r="M71" s="16">
        <f>L71*1.0</f>
        <v/>
      </c>
      <c r="N71" s="14" t="n">
        <v>0</v>
      </c>
      <c r="O71" s="12" t="inlineStr"/>
      <c r="P71" s="14">
        <f>SUM(N71:N71)</f>
        <v/>
      </c>
      <c r="Q71" s="15">
        <f>P71*8.0</f>
        <v/>
      </c>
      <c r="R71" s="15">
        <f>(P71*3.5*9.25*8.0)/12</f>
        <v/>
      </c>
      <c r="S71" s="16">
        <f>Q71*I71</f>
        <v/>
      </c>
      <c r="T71" s="16">
        <f>S71*1.0</f>
        <v/>
      </c>
      <c r="U71" s="14">
        <f>H71-P71</f>
        <v/>
      </c>
      <c r="V71" s="15">
        <f>U71*8.0</f>
        <v/>
      </c>
      <c r="W71" s="15" t="n">
        <v>0</v>
      </c>
      <c r="X71" s="16">
        <f>V71*I71</f>
        <v/>
      </c>
      <c r="Y71" s="16">
        <f>X71*1.0</f>
        <v/>
      </c>
      <c r="Z71" s="15" t="n">
        <v>0</v>
      </c>
      <c r="AA71" s="15">
        <f>Q71-Z71</f>
        <v/>
      </c>
      <c r="AB71" s="16">
        <f>AA71*I71</f>
        <v/>
      </c>
    </row>
    <row r="72">
      <c r="A72" s="12" t="inlineStr">
        <is>
          <t>LVL</t>
        </is>
      </c>
      <c r="B72" s="13" t="inlineStr">
        <is>
          <t>3-1/2 X 9-1/4 GLB/LVL</t>
        </is>
      </c>
      <c r="C72" s="12" t="n">
        <v>3.5</v>
      </c>
      <c r="D72" s="12" t="n">
        <v>9.25</v>
      </c>
      <c r="E72" s="12" t="n">
        <v>12</v>
      </c>
      <c r="F72" s="14" t="n">
        <v>6</v>
      </c>
      <c r="G72" s="14" t="n">
        <v>0</v>
      </c>
      <c r="H72" s="14">
        <f>F72+G72</f>
        <v/>
      </c>
      <c r="I72" s="15" t="n">
        <v>15.55</v>
      </c>
      <c r="J72" s="15">
        <f>H72*12.0</f>
        <v/>
      </c>
      <c r="K72" s="15" t="n">
        <v>0</v>
      </c>
      <c r="L72" s="16">
        <f>J72*I72</f>
        <v/>
      </c>
      <c r="M72" s="16">
        <f>L72*1.0</f>
        <v/>
      </c>
      <c r="N72" s="14" t="n">
        <v>0</v>
      </c>
      <c r="O72" s="12" t="inlineStr"/>
      <c r="P72" s="14">
        <f>SUM(N72:N72)</f>
        <v/>
      </c>
      <c r="Q72" s="15">
        <f>P72*12.0</f>
        <v/>
      </c>
      <c r="R72" s="15">
        <f>(P72*3.5*9.25*12.0)/12</f>
        <v/>
      </c>
      <c r="S72" s="16">
        <f>Q72*I72</f>
        <v/>
      </c>
      <c r="T72" s="16">
        <f>S72*1.0</f>
        <v/>
      </c>
      <c r="U72" s="14">
        <f>H72-P72</f>
        <v/>
      </c>
      <c r="V72" s="15">
        <f>U72*12.0</f>
        <v/>
      </c>
      <c r="W72" s="15" t="n">
        <v>0</v>
      </c>
      <c r="X72" s="16">
        <f>V72*I72</f>
        <v/>
      </c>
      <c r="Y72" s="16">
        <f>X72*1.0</f>
        <v/>
      </c>
      <c r="Z72" s="15" t="n">
        <v>0</v>
      </c>
      <c r="AA72" s="15">
        <f>Q72-Z72</f>
        <v/>
      </c>
      <c r="AB72" s="16">
        <f>AA72*I72</f>
        <v/>
      </c>
    </row>
    <row r="73">
      <c r="A73" s="12" t="inlineStr">
        <is>
          <t>LVL</t>
        </is>
      </c>
      <c r="B73" s="13" t="inlineStr">
        <is>
          <t>3-1/2 X 11-7/8 GLB/LVL PT</t>
        </is>
      </c>
      <c r="C73" s="12" t="n">
        <v>3.5</v>
      </c>
      <c r="D73" s="12" t="n">
        <v>11.875</v>
      </c>
      <c r="E73" s="12" t="n">
        <v>8</v>
      </c>
      <c r="F73" s="14" t="n">
        <v>7</v>
      </c>
      <c r="G73" s="14" t="n">
        <v>0</v>
      </c>
      <c r="H73" s="14">
        <f>F73+G73</f>
        <v/>
      </c>
      <c r="I73" s="15" t="n">
        <v>30.15</v>
      </c>
      <c r="J73" s="15">
        <f>H73*8.0</f>
        <v/>
      </c>
      <c r="K73" s="15" t="n">
        <v>0</v>
      </c>
      <c r="L73" s="16">
        <f>J73*I73</f>
        <v/>
      </c>
      <c r="M73" s="16">
        <f>L73*1.0</f>
        <v/>
      </c>
      <c r="N73" s="14" t="n">
        <v>0</v>
      </c>
      <c r="O73" s="12" t="inlineStr"/>
      <c r="P73" s="14">
        <f>SUM(N73:N73)</f>
        <v/>
      </c>
      <c r="Q73" s="15">
        <f>P73*8.0</f>
        <v/>
      </c>
      <c r="R73" s="15">
        <f>(P73*3.5*11.875*8.0)/12</f>
        <v/>
      </c>
      <c r="S73" s="16">
        <f>Q73*I73</f>
        <v/>
      </c>
      <c r="T73" s="16">
        <f>S73*1.0</f>
        <v/>
      </c>
      <c r="U73" s="14">
        <f>H73-P73</f>
        <v/>
      </c>
      <c r="V73" s="15">
        <f>U73*8.0</f>
        <v/>
      </c>
      <c r="W73" s="15" t="n">
        <v>0</v>
      </c>
      <c r="X73" s="16">
        <f>V73*I73</f>
        <v/>
      </c>
      <c r="Y73" s="16">
        <f>X73*1.0</f>
        <v/>
      </c>
      <c r="Z73" s="15" t="n">
        <v>0</v>
      </c>
      <c r="AA73" s="15">
        <f>Q73-Z73</f>
        <v/>
      </c>
      <c r="AB73" s="16">
        <f>AA73*I73</f>
        <v/>
      </c>
    </row>
    <row r="74">
      <c r="A74" s="12" t="inlineStr">
        <is>
          <t>LVL</t>
        </is>
      </c>
      <c r="B74" s="13" t="inlineStr">
        <is>
          <t>3-1/2 X 11-7/8 GLB/LVL PT</t>
        </is>
      </c>
      <c r="C74" s="12" t="n">
        <v>3.5</v>
      </c>
      <c r="D74" s="12" t="n">
        <v>11.875</v>
      </c>
      <c r="E74" s="12" t="n">
        <v>10</v>
      </c>
      <c r="F74" s="14" t="n">
        <v>40</v>
      </c>
      <c r="G74" s="14" t="n">
        <v>0</v>
      </c>
      <c r="H74" s="14">
        <f>F74+G74</f>
        <v/>
      </c>
      <c r="I74" s="15" t="n">
        <v>30.15</v>
      </c>
      <c r="J74" s="15">
        <f>H74*10.0</f>
        <v/>
      </c>
      <c r="K74" s="15" t="n">
        <v>0</v>
      </c>
      <c r="L74" s="16">
        <f>J74*I74</f>
        <v/>
      </c>
      <c r="M74" s="16">
        <f>L74*1.0</f>
        <v/>
      </c>
      <c r="N74" s="14" t="n">
        <v>0</v>
      </c>
      <c r="O74" s="12" t="inlineStr"/>
      <c r="P74" s="14">
        <f>SUM(N74:N74)</f>
        <v/>
      </c>
      <c r="Q74" s="15">
        <f>P74*10.0</f>
        <v/>
      </c>
      <c r="R74" s="15">
        <f>(P74*3.5*11.875*10.0)/12</f>
        <v/>
      </c>
      <c r="S74" s="16">
        <f>Q74*I74</f>
        <v/>
      </c>
      <c r="T74" s="16">
        <f>S74*1.0</f>
        <v/>
      </c>
      <c r="U74" s="14">
        <f>H74-P74</f>
        <v/>
      </c>
      <c r="V74" s="15">
        <f>U74*10.0</f>
        <v/>
      </c>
      <c r="W74" s="15" t="n">
        <v>0</v>
      </c>
      <c r="X74" s="16">
        <f>V74*I74</f>
        <v/>
      </c>
      <c r="Y74" s="16">
        <f>X74*1.0</f>
        <v/>
      </c>
      <c r="Z74" s="15" t="n">
        <v>0</v>
      </c>
      <c r="AA74" s="15">
        <f>Q74-Z74</f>
        <v/>
      </c>
      <c r="AB74" s="16">
        <f>AA74*I74</f>
        <v/>
      </c>
    </row>
    <row r="75">
      <c r="A75" s="12" t="inlineStr">
        <is>
          <t>LVL</t>
        </is>
      </c>
      <c r="B75" s="13" t="inlineStr">
        <is>
          <t>3-1/2 X 11-7/8 GLB/LVL PT</t>
        </is>
      </c>
      <c r="C75" s="12" t="n">
        <v>3.5</v>
      </c>
      <c r="D75" s="12" t="n">
        <v>11.875</v>
      </c>
      <c r="E75" s="12" t="n">
        <v>12</v>
      </c>
      <c r="F75" s="14" t="n">
        <v>4</v>
      </c>
      <c r="G75" s="14" t="n">
        <v>0</v>
      </c>
      <c r="H75" s="14">
        <f>F75+G75</f>
        <v/>
      </c>
      <c r="I75" s="15" t="n">
        <v>30.15</v>
      </c>
      <c r="J75" s="15">
        <f>H75*12.0</f>
        <v/>
      </c>
      <c r="K75" s="15" t="n">
        <v>0</v>
      </c>
      <c r="L75" s="16">
        <f>J75*I75</f>
        <v/>
      </c>
      <c r="M75" s="16">
        <f>L75*1.0</f>
        <v/>
      </c>
      <c r="N75" s="14" t="n">
        <v>0</v>
      </c>
      <c r="O75" s="12" t="inlineStr"/>
      <c r="P75" s="14">
        <f>SUM(N75:N75)</f>
        <v/>
      </c>
      <c r="Q75" s="15">
        <f>P75*12.0</f>
        <v/>
      </c>
      <c r="R75" s="15">
        <f>(P75*3.5*11.875*12.0)/12</f>
        <v/>
      </c>
      <c r="S75" s="16">
        <f>Q75*I75</f>
        <v/>
      </c>
      <c r="T75" s="16">
        <f>S75*1.0</f>
        <v/>
      </c>
      <c r="U75" s="14">
        <f>H75-P75</f>
        <v/>
      </c>
      <c r="V75" s="15">
        <f>U75*12.0</f>
        <v/>
      </c>
      <c r="W75" s="15" t="n">
        <v>0</v>
      </c>
      <c r="X75" s="16">
        <f>V75*I75</f>
        <v/>
      </c>
      <c r="Y75" s="16">
        <f>X75*1.0</f>
        <v/>
      </c>
      <c r="Z75" s="15" t="n">
        <v>0</v>
      </c>
      <c r="AA75" s="15">
        <f>Q75-Z75</f>
        <v/>
      </c>
      <c r="AB75" s="16">
        <f>AA75*I75</f>
        <v/>
      </c>
    </row>
    <row r="76">
      <c r="A76" s="12" t="inlineStr">
        <is>
          <t>LVL</t>
        </is>
      </c>
      <c r="B76" s="13" t="inlineStr">
        <is>
          <t>3-1/2 X 11-7/8 GLB/LVL PT</t>
        </is>
      </c>
      <c r="C76" s="12" t="n">
        <v>3.5</v>
      </c>
      <c r="D76" s="12" t="n">
        <v>11.875</v>
      </c>
      <c r="E76" s="12" t="n">
        <v>12</v>
      </c>
      <c r="F76" s="14" t="n">
        <v>3</v>
      </c>
      <c r="G76" s="14" t="n">
        <v>0</v>
      </c>
      <c r="H76" s="14">
        <f>F76+G76</f>
        <v/>
      </c>
      <c r="I76" s="15" t="n">
        <v>30.15</v>
      </c>
      <c r="J76" s="15">
        <f>H76*12.0</f>
        <v/>
      </c>
      <c r="K76" s="15" t="n">
        <v>0</v>
      </c>
      <c r="L76" s="16">
        <f>J76*I76</f>
        <v/>
      </c>
      <c r="M76" s="16">
        <f>L76*1.0</f>
        <v/>
      </c>
      <c r="N76" s="14" t="n">
        <v>0</v>
      </c>
      <c r="O76" s="12" t="inlineStr"/>
      <c r="P76" s="14">
        <f>SUM(N76:N76)</f>
        <v/>
      </c>
      <c r="Q76" s="15">
        <f>P76*12.0</f>
        <v/>
      </c>
      <c r="R76" s="15">
        <f>(P76*3.5*11.875*12.0)/12</f>
        <v/>
      </c>
      <c r="S76" s="16">
        <f>Q76*I76</f>
        <v/>
      </c>
      <c r="T76" s="16">
        <f>S76*1.0</f>
        <v/>
      </c>
      <c r="U76" s="14">
        <f>H76-P76</f>
        <v/>
      </c>
      <c r="V76" s="15">
        <f>U76*12.0</f>
        <v/>
      </c>
      <c r="W76" s="15" t="n">
        <v>0</v>
      </c>
      <c r="X76" s="16">
        <f>V76*I76</f>
        <v/>
      </c>
      <c r="Y76" s="16">
        <f>X76*1.0</f>
        <v/>
      </c>
      <c r="Z76" s="15" t="n">
        <v>0</v>
      </c>
      <c r="AA76" s="15">
        <f>Q76-Z76</f>
        <v/>
      </c>
      <c r="AB76" s="16">
        <f>AA76*I76</f>
        <v/>
      </c>
    </row>
    <row r="77">
      <c r="A77" s="12" t="inlineStr">
        <is>
          <t>LVL</t>
        </is>
      </c>
      <c r="B77" s="13" t="inlineStr">
        <is>
          <t>3-1/2 X 11-7/8 GLB/LVL PT</t>
        </is>
      </c>
      <c r="C77" s="12" t="n">
        <v>3.5</v>
      </c>
      <c r="D77" s="12" t="n">
        <v>11.875</v>
      </c>
      <c r="E77" s="12" t="n">
        <v>12</v>
      </c>
      <c r="F77" s="14" t="n">
        <v>14</v>
      </c>
      <c r="G77" s="14" t="n">
        <v>0</v>
      </c>
      <c r="H77" s="14">
        <f>F77+G77</f>
        <v/>
      </c>
      <c r="I77" s="15" t="n">
        <v>30.15</v>
      </c>
      <c r="J77" s="15">
        <f>H77*12.0</f>
        <v/>
      </c>
      <c r="K77" s="15" t="n">
        <v>0</v>
      </c>
      <c r="L77" s="16">
        <f>J77*I77</f>
        <v/>
      </c>
      <c r="M77" s="16">
        <f>L77*1.0</f>
        <v/>
      </c>
      <c r="N77" s="14" t="n">
        <v>0</v>
      </c>
      <c r="O77" s="12" t="inlineStr"/>
      <c r="P77" s="14">
        <f>SUM(N77:N77)</f>
        <v/>
      </c>
      <c r="Q77" s="15">
        <f>P77*12.0</f>
        <v/>
      </c>
      <c r="R77" s="15">
        <f>(P77*3.5*11.875*12.0)/12</f>
        <v/>
      </c>
      <c r="S77" s="16">
        <f>Q77*I77</f>
        <v/>
      </c>
      <c r="T77" s="16">
        <f>S77*1.0</f>
        <v/>
      </c>
      <c r="U77" s="14">
        <f>H77-P77</f>
        <v/>
      </c>
      <c r="V77" s="15">
        <f>U77*12.0</f>
        <v/>
      </c>
      <c r="W77" s="15" t="n">
        <v>0</v>
      </c>
      <c r="X77" s="16">
        <f>V77*I77</f>
        <v/>
      </c>
      <c r="Y77" s="16">
        <f>X77*1.0</f>
        <v/>
      </c>
      <c r="Z77" s="15" t="n">
        <v>0</v>
      </c>
      <c r="AA77" s="15">
        <f>Q77-Z77</f>
        <v/>
      </c>
      <c r="AB77" s="16">
        <f>AA77*I77</f>
        <v/>
      </c>
    </row>
    <row r="78">
      <c r="A78" s="12" t="inlineStr">
        <is>
          <t>LVL</t>
        </is>
      </c>
      <c r="B78" s="13" t="inlineStr">
        <is>
          <t>3-1/2 X 11-7/8 GLB/LVL PT</t>
        </is>
      </c>
      <c r="C78" s="12" t="n">
        <v>3.5</v>
      </c>
      <c r="D78" s="12" t="n">
        <v>11.875</v>
      </c>
      <c r="E78" s="12" t="n">
        <v>14</v>
      </c>
      <c r="F78" s="14" t="n">
        <v>5</v>
      </c>
      <c r="G78" s="14" t="n">
        <v>0</v>
      </c>
      <c r="H78" s="14">
        <f>F78+G78</f>
        <v/>
      </c>
      <c r="I78" s="15" t="n">
        <v>30.15</v>
      </c>
      <c r="J78" s="15">
        <f>H78*14.0</f>
        <v/>
      </c>
      <c r="K78" s="15" t="n">
        <v>0</v>
      </c>
      <c r="L78" s="16">
        <f>J78*I78</f>
        <v/>
      </c>
      <c r="M78" s="16">
        <f>L78*1.0</f>
        <v/>
      </c>
      <c r="N78" s="14" t="n">
        <v>0</v>
      </c>
      <c r="O78" s="12" t="inlineStr"/>
      <c r="P78" s="14">
        <f>SUM(N78:N78)</f>
        <v/>
      </c>
      <c r="Q78" s="15">
        <f>P78*14.0</f>
        <v/>
      </c>
      <c r="R78" s="15">
        <f>(P78*3.5*11.875*14.0)/12</f>
        <v/>
      </c>
      <c r="S78" s="16">
        <f>Q78*I78</f>
        <v/>
      </c>
      <c r="T78" s="16">
        <f>S78*1.0</f>
        <v/>
      </c>
      <c r="U78" s="14">
        <f>H78-P78</f>
        <v/>
      </c>
      <c r="V78" s="15">
        <f>U78*14.0</f>
        <v/>
      </c>
      <c r="W78" s="15" t="n">
        <v>0</v>
      </c>
      <c r="X78" s="16">
        <f>V78*I78</f>
        <v/>
      </c>
      <c r="Y78" s="16">
        <f>X78*1.0</f>
        <v/>
      </c>
      <c r="Z78" s="15" t="n">
        <v>0</v>
      </c>
      <c r="AA78" s="15">
        <f>Q78-Z78</f>
        <v/>
      </c>
      <c r="AB78" s="16">
        <f>AA78*I78</f>
        <v/>
      </c>
    </row>
    <row r="79">
      <c r="A79" s="12" t="inlineStr">
        <is>
          <t>LVL</t>
        </is>
      </c>
      <c r="B79" s="13" t="inlineStr">
        <is>
          <t>3-1/2 X 14 GLB/LVL</t>
        </is>
      </c>
      <c r="C79" s="12" t="n">
        <v>3.5</v>
      </c>
      <c r="D79" s="12" t="n">
        <v>14</v>
      </c>
      <c r="E79" s="12" t="n">
        <v>8</v>
      </c>
      <c r="F79" s="14" t="n">
        <v>2</v>
      </c>
      <c r="G79" s="14" t="n">
        <v>0</v>
      </c>
      <c r="H79" s="14">
        <f>F79+G79</f>
        <v/>
      </c>
      <c r="I79" s="15" t="n">
        <v>22.85</v>
      </c>
      <c r="J79" s="15">
        <f>H79*8.0</f>
        <v/>
      </c>
      <c r="K79" s="15" t="n">
        <v>0</v>
      </c>
      <c r="L79" s="16">
        <f>J79*I79</f>
        <v/>
      </c>
      <c r="M79" s="16">
        <f>L79*1.0</f>
        <v/>
      </c>
      <c r="N79" s="14" t="n">
        <v>0</v>
      </c>
      <c r="O79" s="12" t="inlineStr"/>
      <c r="P79" s="14">
        <f>SUM(N79:N79)</f>
        <v/>
      </c>
      <c r="Q79" s="15">
        <f>P79*8.0</f>
        <v/>
      </c>
      <c r="R79" s="15">
        <f>(P79*3.5*14.0*8.0)/12</f>
        <v/>
      </c>
      <c r="S79" s="16">
        <f>Q79*I79</f>
        <v/>
      </c>
      <c r="T79" s="16">
        <f>S79*1.0</f>
        <v/>
      </c>
      <c r="U79" s="14">
        <f>H79-P79</f>
        <v/>
      </c>
      <c r="V79" s="15">
        <f>U79*8.0</f>
        <v/>
      </c>
      <c r="W79" s="15" t="n">
        <v>0</v>
      </c>
      <c r="X79" s="16">
        <f>V79*I79</f>
        <v/>
      </c>
      <c r="Y79" s="16">
        <f>X79*1.0</f>
        <v/>
      </c>
      <c r="Z79" s="15" t="n">
        <v>0</v>
      </c>
      <c r="AA79" s="15">
        <f>Q79-Z79</f>
        <v/>
      </c>
      <c r="AB79" s="16">
        <f>AA79*I79</f>
        <v/>
      </c>
    </row>
    <row r="80">
      <c r="A80" s="12" t="inlineStr">
        <is>
          <t>LVL</t>
        </is>
      </c>
      <c r="B80" s="13" t="inlineStr">
        <is>
          <t>3-1/2 X 16 GLB/LVL PT</t>
        </is>
      </c>
      <c r="C80" s="12" t="n">
        <v>3.5</v>
      </c>
      <c r="D80" s="12" t="n">
        <v>16</v>
      </c>
      <c r="E80" s="12" t="n">
        <v>8</v>
      </c>
      <c r="F80" s="14" t="n">
        <v>2</v>
      </c>
      <c r="G80" s="14" t="n">
        <v>0</v>
      </c>
      <c r="H80" s="14">
        <f>F80+G80</f>
        <v/>
      </c>
      <c r="I80" s="15" t="n">
        <v>40.95</v>
      </c>
      <c r="J80" s="15">
        <f>H80*8.0</f>
        <v/>
      </c>
      <c r="K80" s="15" t="n">
        <v>0</v>
      </c>
      <c r="L80" s="16">
        <f>J80*I80</f>
        <v/>
      </c>
      <c r="M80" s="16">
        <f>L80*1.0</f>
        <v/>
      </c>
      <c r="N80" s="14" t="n">
        <v>0</v>
      </c>
      <c r="O80" s="12" t="inlineStr"/>
      <c r="P80" s="14">
        <f>SUM(N80:N80)</f>
        <v/>
      </c>
      <c r="Q80" s="15">
        <f>P80*8.0</f>
        <v/>
      </c>
      <c r="R80" s="15">
        <f>(P80*3.5*16.0*8.0)/12</f>
        <v/>
      </c>
      <c r="S80" s="16">
        <f>Q80*I80</f>
        <v/>
      </c>
      <c r="T80" s="16">
        <f>S80*1.0</f>
        <v/>
      </c>
      <c r="U80" s="14">
        <f>H80-P80</f>
        <v/>
      </c>
      <c r="V80" s="15">
        <f>U80*8.0</f>
        <v/>
      </c>
      <c r="W80" s="15" t="n">
        <v>0</v>
      </c>
      <c r="X80" s="16">
        <f>V80*I80</f>
        <v/>
      </c>
      <c r="Y80" s="16">
        <f>X80*1.0</f>
        <v/>
      </c>
      <c r="Z80" s="15" t="n">
        <v>0</v>
      </c>
      <c r="AA80" s="15">
        <f>Q80-Z80</f>
        <v/>
      </c>
      <c r="AB80" s="16">
        <f>AA80*I80</f>
        <v/>
      </c>
    </row>
    <row r="81">
      <c r="A81" s="12" t="inlineStr">
        <is>
          <t>LVL</t>
        </is>
      </c>
      <c r="B81" s="13" t="inlineStr">
        <is>
          <t>3-1/2 X 16 GLB/LVL PT</t>
        </is>
      </c>
      <c r="C81" s="12" t="n">
        <v>3.5</v>
      </c>
      <c r="D81" s="12" t="n">
        <v>16</v>
      </c>
      <c r="E81" s="12" t="n">
        <v>10</v>
      </c>
      <c r="F81" s="14" t="n">
        <v>10</v>
      </c>
      <c r="G81" s="14" t="n">
        <v>0</v>
      </c>
      <c r="H81" s="14">
        <f>F81+G81</f>
        <v/>
      </c>
      <c r="I81" s="15" t="n">
        <v>40.95</v>
      </c>
      <c r="J81" s="15">
        <f>H81*10.0</f>
        <v/>
      </c>
      <c r="K81" s="15" t="n">
        <v>0</v>
      </c>
      <c r="L81" s="16">
        <f>J81*I81</f>
        <v/>
      </c>
      <c r="M81" s="16">
        <f>L81*1.0</f>
        <v/>
      </c>
      <c r="N81" s="14" t="n">
        <v>0</v>
      </c>
      <c r="O81" s="12" t="inlineStr"/>
      <c r="P81" s="14">
        <f>SUM(N81:N81)</f>
        <v/>
      </c>
      <c r="Q81" s="15">
        <f>P81*10.0</f>
        <v/>
      </c>
      <c r="R81" s="15">
        <f>(P81*3.5*16.0*10.0)/12</f>
        <v/>
      </c>
      <c r="S81" s="16">
        <f>Q81*I81</f>
        <v/>
      </c>
      <c r="T81" s="16">
        <f>S81*1.0</f>
        <v/>
      </c>
      <c r="U81" s="14">
        <f>H81-P81</f>
        <v/>
      </c>
      <c r="V81" s="15">
        <f>U81*10.0</f>
        <v/>
      </c>
      <c r="W81" s="15" t="n">
        <v>0</v>
      </c>
      <c r="X81" s="16">
        <f>V81*I81</f>
        <v/>
      </c>
      <c r="Y81" s="16">
        <f>X81*1.0</f>
        <v/>
      </c>
      <c r="Z81" s="15" t="n">
        <v>0</v>
      </c>
      <c r="AA81" s="15">
        <f>Q81-Z81</f>
        <v/>
      </c>
      <c r="AB81" s="16">
        <f>AA81*I81</f>
        <v/>
      </c>
    </row>
    <row r="82">
      <c r="A82" s="12" t="inlineStr">
        <is>
          <t>LVL</t>
        </is>
      </c>
      <c r="B82" s="13" t="inlineStr">
        <is>
          <t>3-1/2 X 16 GLB/LVL PT</t>
        </is>
      </c>
      <c r="C82" s="12" t="n">
        <v>3.5</v>
      </c>
      <c r="D82" s="12" t="n">
        <v>16</v>
      </c>
      <c r="E82" s="12" t="n">
        <v>12</v>
      </c>
      <c r="F82" s="14" t="n">
        <v>17</v>
      </c>
      <c r="G82" s="14" t="n">
        <v>0</v>
      </c>
      <c r="H82" s="14">
        <f>F82+G82</f>
        <v/>
      </c>
      <c r="I82" s="15" t="n">
        <v>40.95</v>
      </c>
      <c r="J82" s="15">
        <f>H82*12.0</f>
        <v/>
      </c>
      <c r="K82" s="15" t="n">
        <v>0</v>
      </c>
      <c r="L82" s="16">
        <f>J82*I82</f>
        <v/>
      </c>
      <c r="M82" s="16">
        <f>L82*1.0</f>
        <v/>
      </c>
      <c r="N82" s="14" t="n">
        <v>0</v>
      </c>
      <c r="O82" s="12" t="inlineStr"/>
      <c r="P82" s="14">
        <f>SUM(N82:N82)</f>
        <v/>
      </c>
      <c r="Q82" s="15">
        <f>P82*12.0</f>
        <v/>
      </c>
      <c r="R82" s="15">
        <f>(P82*3.5*16.0*12.0)/12</f>
        <v/>
      </c>
      <c r="S82" s="16">
        <f>Q82*I82</f>
        <v/>
      </c>
      <c r="T82" s="16">
        <f>S82*1.0</f>
        <v/>
      </c>
      <c r="U82" s="14">
        <f>H82-P82</f>
        <v/>
      </c>
      <c r="V82" s="15">
        <f>U82*12.0</f>
        <v/>
      </c>
      <c r="W82" s="15" t="n">
        <v>0</v>
      </c>
      <c r="X82" s="16">
        <f>V82*I82</f>
        <v/>
      </c>
      <c r="Y82" s="16">
        <f>X82*1.0</f>
        <v/>
      </c>
      <c r="Z82" s="15" t="n">
        <v>0</v>
      </c>
      <c r="AA82" s="15">
        <f>Q82-Z82</f>
        <v/>
      </c>
      <c r="AB82" s="16">
        <f>AA82*I82</f>
        <v/>
      </c>
    </row>
    <row r="83">
      <c r="A83" s="12" t="inlineStr">
        <is>
          <t>LVL</t>
        </is>
      </c>
      <c r="B83" s="13" t="inlineStr">
        <is>
          <t>3-1/2 X 16 GLB/LVL PT</t>
        </is>
      </c>
      <c r="C83" s="12" t="n">
        <v>3.5</v>
      </c>
      <c r="D83" s="12" t="n">
        <v>16</v>
      </c>
      <c r="E83" s="12" t="n">
        <v>14</v>
      </c>
      <c r="F83" s="14" t="n">
        <v>16</v>
      </c>
      <c r="G83" s="14" t="n">
        <v>0</v>
      </c>
      <c r="H83" s="14">
        <f>F83+G83</f>
        <v/>
      </c>
      <c r="I83" s="15" t="n">
        <v>40.95</v>
      </c>
      <c r="J83" s="15">
        <f>H83*14.0</f>
        <v/>
      </c>
      <c r="K83" s="15" t="n">
        <v>0</v>
      </c>
      <c r="L83" s="16">
        <f>J83*I83</f>
        <v/>
      </c>
      <c r="M83" s="16">
        <f>L83*1.0</f>
        <v/>
      </c>
      <c r="N83" s="14" t="n">
        <v>0</v>
      </c>
      <c r="O83" s="12" t="inlineStr"/>
      <c r="P83" s="14">
        <f>SUM(N83:N83)</f>
        <v/>
      </c>
      <c r="Q83" s="15">
        <f>P83*14.0</f>
        <v/>
      </c>
      <c r="R83" s="15">
        <f>(P83*3.5*16.0*14.0)/12</f>
        <v/>
      </c>
      <c r="S83" s="16">
        <f>Q83*I83</f>
        <v/>
      </c>
      <c r="T83" s="16">
        <f>S83*1.0</f>
        <v/>
      </c>
      <c r="U83" s="14">
        <f>H83-P83</f>
        <v/>
      </c>
      <c r="V83" s="15">
        <f>U83*14.0</f>
        <v/>
      </c>
      <c r="W83" s="15" t="n">
        <v>0</v>
      </c>
      <c r="X83" s="16">
        <f>V83*I83</f>
        <v/>
      </c>
      <c r="Y83" s="16">
        <f>X83*1.0</f>
        <v/>
      </c>
      <c r="Z83" s="15" t="n">
        <v>0</v>
      </c>
      <c r="AA83" s="15">
        <f>Q83-Z83</f>
        <v/>
      </c>
      <c r="AB83" s="16">
        <f>AA83*I83</f>
        <v/>
      </c>
    </row>
    <row r="84">
      <c r="A84" s="12" t="inlineStr">
        <is>
          <t>LVL</t>
        </is>
      </c>
      <c r="B84" s="13" t="inlineStr">
        <is>
          <t>3-1/2 X 16 GLB/LVL</t>
        </is>
      </c>
      <c r="C84" s="12" t="n">
        <v>3.5</v>
      </c>
      <c r="D84" s="12" t="n">
        <v>16</v>
      </c>
      <c r="E84" s="12" t="n">
        <v>14</v>
      </c>
      <c r="F84" s="14" t="n">
        <v>9</v>
      </c>
      <c r="G84" s="14" t="n">
        <v>0</v>
      </c>
      <c r="H84" s="14">
        <f>F84+G84</f>
        <v/>
      </c>
      <c r="I84" s="15" t="n">
        <v>25.1</v>
      </c>
      <c r="J84" s="15">
        <f>H84*14.0</f>
        <v/>
      </c>
      <c r="K84" s="15" t="n">
        <v>0</v>
      </c>
      <c r="L84" s="16">
        <f>J84*I84</f>
        <v/>
      </c>
      <c r="M84" s="16">
        <f>L84*1.0</f>
        <v/>
      </c>
      <c r="N84" s="14" t="n">
        <v>0</v>
      </c>
      <c r="O84" s="12" t="inlineStr"/>
      <c r="P84" s="14">
        <f>SUM(N84:N84)</f>
        <v/>
      </c>
      <c r="Q84" s="15">
        <f>P84*14.0</f>
        <v/>
      </c>
      <c r="R84" s="15">
        <f>(P84*3.5*16.0*14.0)/12</f>
        <v/>
      </c>
      <c r="S84" s="16">
        <f>Q84*I84</f>
        <v/>
      </c>
      <c r="T84" s="16">
        <f>S84*1.0</f>
        <v/>
      </c>
      <c r="U84" s="14">
        <f>H84-P84</f>
        <v/>
      </c>
      <c r="V84" s="15">
        <f>U84*14.0</f>
        <v/>
      </c>
      <c r="W84" s="15" t="n">
        <v>0</v>
      </c>
      <c r="X84" s="16">
        <f>V84*I84</f>
        <v/>
      </c>
      <c r="Y84" s="16">
        <f>X84*1.0</f>
        <v/>
      </c>
      <c r="Z84" s="15" t="n">
        <v>0</v>
      </c>
      <c r="AA84" s="15">
        <f>Q84-Z84</f>
        <v/>
      </c>
      <c r="AB84" s="16">
        <f>AA84*I84</f>
        <v/>
      </c>
    </row>
    <row r="85">
      <c r="A85" s="12" t="inlineStr">
        <is>
          <t>LVL</t>
        </is>
      </c>
      <c r="B85" s="13" t="inlineStr">
        <is>
          <t>3-1/2 X 16 GLB/LVL</t>
        </is>
      </c>
      <c r="C85" s="12" t="n">
        <v>3.5</v>
      </c>
      <c r="D85" s="12" t="n">
        <v>16</v>
      </c>
      <c r="E85" s="12" t="n">
        <v>18</v>
      </c>
      <c r="F85" s="14" t="n">
        <v>25</v>
      </c>
      <c r="G85" s="14" t="n">
        <v>0</v>
      </c>
      <c r="H85" s="14">
        <f>F85+G85</f>
        <v/>
      </c>
      <c r="I85" s="15" t="n">
        <v>25.1</v>
      </c>
      <c r="J85" s="15">
        <f>H85*18.0</f>
        <v/>
      </c>
      <c r="K85" s="15" t="n">
        <v>0</v>
      </c>
      <c r="L85" s="16">
        <f>J85*I85</f>
        <v/>
      </c>
      <c r="M85" s="16">
        <f>L85*1.0</f>
        <v/>
      </c>
      <c r="N85" s="14" t="n">
        <v>0</v>
      </c>
      <c r="O85" s="12" t="inlineStr"/>
      <c r="P85" s="14">
        <f>SUM(N85:N85)</f>
        <v/>
      </c>
      <c r="Q85" s="15">
        <f>P85*18.0</f>
        <v/>
      </c>
      <c r="R85" s="15">
        <f>(P85*3.5*16.0*18.0)/12</f>
        <v/>
      </c>
      <c r="S85" s="16">
        <f>Q85*I85</f>
        <v/>
      </c>
      <c r="T85" s="16">
        <f>S85*1.0</f>
        <v/>
      </c>
      <c r="U85" s="14">
        <f>H85-P85</f>
        <v/>
      </c>
      <c r="V85" s="15">
        <f>U85*18.0</f>
        <v/>
      </c>
      <c r="W85" s="15" t="n">
        <v>0</v>
      </c>
      <c r="X85" s="16">
        <f>V85*I85</f>
        <v/>
      </c>
      <c r="Y85" s="16">
        <f>X85*1.0</f>
        <v/>
      </c>
      <c r="Z85" s="15" t="n">
        <v>0</v>
      </c>
      <c r="AA85" s="15">
        <f>Q85-Z85</f>
        <v/>
      </c>
      <c r="AB85" s="16">
        <f>AA85*I85</f>
        <v/>
      </c>
    </row>
    <row r="86">
      <c r="A86" s="12" t="inlineStr">
        <is>
          <t>LVL</t>
        </is>
      </c>
      <c r="B86" s="13" t="inlineStr">
        <is>
          <t>3-1/2 X 18 GLB/LVL</t>
        </is>
      </c>
      <c r="C86" s="12" t="n">
        <v>3.5</v>
      </c>
      <c r="D86" s="12" t="n">
        <v>18</v>
      </c>
      <c r="E86" s="12" t="n">
        <v>12</v>
      </c>
      <c r="F86" s="14" t="n">
        <v>2</v>
      </c>
      <c r="G86" s="14" t="n">
        <v>0</v>
      </c>
      <c r="H86" s="14">
        <f>F86+G86</f>
        <v/>
      </c>
      <c r="I86" s="15" t="n">
        <v>28.27</v>
      </c>
      <c r="J86" s="15">
        <f>H86*12.0</f>
        <v/>
      </c>
      <c r="K86" s="15" t="n">
        <v>0</v>
      </c>
      <c r="L86" s="16">
        <f>J86*I86</f>
        <v/>
      </c>
      <c r="M86" s="16">
        <f>L86*1.0</f>
        <v/>
      </c>
      <c r="N86" s="14" t="n">
        <v>0</v>
      </c>
      <c r="O86" s="12" t="inlineStr"/>
      <c r="P86" s="14">
        <f>SUM(N86:N86)</f>
        <v/>
      </c>
      <c r="Q86" s="15">
        <f>P86*12.0</f>
        <v/>
      </c>
      <c r="R86" s="15">
        <f>(P86*3.5*18.0*12.0)/12</f>
        <v/>
      </c>
      <c r="S86" s="16">
        <f>Q86*I86</f>
        <v/>
      </c>
      <c r="T86" s="16">
        <f>S86*1.0</f>
        <v/>
      </c>
      <c r="U86" s="14">
        <f>H86-P86</f>
        <v/>
      </c>
      <c r="V86" s="15">
        <f>U86*12.0</f>
        <v/>
      </c>
      <c r="W86" s="15" t="n">
        <v>0</v>
      </c>
      <c r="X86" s="16">
        <f>V86*I86</f>
        <v/>
      </c>
      <c r="Y86" s="16">
        <f>X86*1.0</f>
        <v/>
      </c>
      <c r="Z86" s="15" t="n">
        <v>0</v>
      </c>
      <c r="AA86" s="15">
        <f>Q86-Z86</f>
        <v/>
      </c>
      <c r="AB86" s="16">
        <f>AA86*I86</f>
        <v/>
      </c>
    </row>
    <row r="87">
      <c r="A87" s="12" t="inlineStr">
        <is>
          <t>LVL</t>
        </is>
      </c>
      <c r="B87" s="13" t="inlineStr">
        <is>
          <t>5-1/4 X 9-1/4 GLB/LVL</t>
        </is>
      </c>
      <c r="C87" s="12" t="n">
        <v>5.25</v>
      </c>
      <c r="D87" s="12" t="n">
        <v>9.25</v>
      </c>
      <c r="E87" s="12" t="n">
        <v>10</v>
      </c>
      <c r="F87" s="14" t="n">
        <v>3</v>
      </c>
      <c r="G87" s="14" t="n">
        <v>0</v>
      </c>
      <c r="H87" s="14">
        <f>F87+G87</f>
        <v/>
      </c>
      <c r="I87" s="15" t="n">
        <v>23.75</v>
      </c>
      <c r="J87" s="15">
        <f>H87*10.0</f>
        <v/>
      </c>
      <c r="K87" s="15" t="n">
        <v>0</v>
      </c>
      <c r="L87" s="16">
        <f>J87*I87</f>
        <v/>
      </c>
      <c r="M87" s="16">
        <f>L87*1.0</f>
        <v/>
      </c>
      <c r="N87" s="14" t="n">
        <v>0</v>
      </c>
      <c r="O87" s="12" t="inlineStr"/>
      <c r="P87" s="14">
        <f>SUM(N87:N87)</f>
        <v/>
      </c>
      <c r="Q87" s="15">
        <f>P87*10.0</f>
        <v/>
      </c>
      <c r="R87" s="15">
        <f>(P87*5.25*9.25*10.0)/12</f>
        <v/>
      </c>
      <c r="S87" s="16">
        <f>Q87*I87</f>
        <v/>
      </c>
      <c r="T87" s="16">
        <f>S87*1.0</f>
        <v/>
      </c>
      <c r="U87" s="14">
        <f>H87-P87</f>
        <v/>
      </c>
      <c r="V87" s="15">
        <f>U87*10.0</f>
        <v/>
      </c>
      <c r="W87" s="15" t="n">
        <v>0</v>
      </c>
      <c r="X87" s="16">
        <f>V87*I87</f>
        <v/>
      </c>
      <c r="Y87" s="16">
        <f>X87*1.0</f>
        <v/>
      </c>
      <c r="Z87" s="15" t="n">
        <v>0</v>
      </c>
      <c r="AA87" s="15">
        <f>Q87-Z87</f>
        <v/>
      </c>
      <c r="AB87" s="16">
        <f>AA87*I87</f>
        <v/>
      </c>
    </row>
    <row r="88">
      <c r="A88" s="12" t="inlineStr">
        <is>
          <t>LVL</t>
        </is>
      </c>
      <c r="B88" s="13" t="inlineStr">
        <is>
          <t>5-1/4 X 11-7/8 GLB/LVL</t>
        </is>
      </c>
      <c r="C88" s="12" t="n">
        <v>5.25</v>
      </c>
      <c r="D88" s="12" t="n">
        <v>11.875</v>
      </c>
      <c r="E88" s="12" t="n">
        <v>8</v>
      </c>
      <c r="F88" s="14" t="n">
        <v>8</v>
      </c>
      <c r="G88" s="14" t="n">
        <v>0</v>
      </c>
      <c r="H88" s="14">
        <f>F88+G88</f>
        <v/>
      </c>
      <c r="I88" s="15" t="n">
        <v>29.6</v>
      </c>
      <c r="J88" s="15">
        <f>H88*8.0</f>
        <v/>
      </c>
      <c r="K88" s="15" t="n">
        <v>0</v>
      </c>
      <c r="L88" s="16">
        <f>J88*I88</f>
        <v/>
      </c>
      <c r="M88" s="16">
        <f>L88*1.0</f>
        <v/>
      </c>
      <c r="N88" s="14" t="n">
        <v>0</v>
      </c>
      <c r="O88" s="12" t="inlineStr"/>
      <c r="P88" s="14">
        <f>SUM(N88:N88)</f>
        <v/>
      </c>
      <c r="Q88" s="15">
        <f>P88*8.0</f>
        <v/>
      </c>
      <c r="R88" s="15">
        <f>(P88*5.25*11.875*8.0)/12</f>
        <v/>
      </c>
      <c r="S88" s="16">
        <f>Q88*I88</f>
        <v/>
      </c>
      <c r="T88" s="16">
        <f>S88*1.0</f>
        <v/>
      </c>
      <c r="U88" s="14">
        <f>H88-P88</f>
        <v/>
      </c>
      <c r="V88" s="15">
        <f>U88*8.0</f>
        <v/>
      </c>
      <c r="W88" s="15" t="n">
        <v>0</v>
      </c>
      <c r="X88" s="16">
        <f>V88*I88</f>
        <v/>
      </c>
      <c r="Y88" s="16">
        <f>X88*1.0</f>
        <v/>
      </c>
      <c r="Z88" s="15" t="n">
        <v>0</v>
      </c>
      <c r="AA88" s="15">
        <f>Q88-Z88</f>
        <v/>
      </c>
      <c r="AB88" s="16">
        <f>AA88*I88</f>
        <v/>
      </c>
    </row>
    <row r="89">
      <c r="A89" s="12" t="inlineStr">
        <is>
          <t>LVL</t>
        </is>
      </c>
      <c r="B89" s="13" t="inlineStr">
        <is>
          <t>5-1/4 X 11-7/8 GLB/LVL</t>
        </is>
      </c>
      <c r="C89" s="12" t="n">
        <v>5.25</v>
      </c>
      <c r="D89" s="12" t="n">
        <v>11.875</v>
      </c>
      <c r="E89" s="12" t="n">
        <v>10</v>
      </c>
      <c r="F89" s="14" t="n">
        <v>42</v>
      </c>
      <c r="G89" s="14" t="n">
        <v>0</v>
      </c>
      <c r="H89" s="14">
        <f>F89+G89</f>
        <v/>
      </c>
      <c r="I89" s="15" t="n">
        <v>29.6</v>
      </c>
      <c r="J89" s="15">
        <f>H89*10.0</f>
        <v/>
      </c>
      <c r="K89" s="15" t="n">
        <v>0</v>
      </c>
      <c r="L89" s="16">
        <f>J89*I89</f>
        <v/>
      </c>
      <c r="M89" s="16">
        <f>L89*1.0</f>
        <v/>
      </c>
      <c r="N89" s="14" t="n">
        <v>0</v>
      </c>
      <c r="O89" s="12" t="inlineStr"/>
      <c r="P89" s="14">
        <f>SUM(N89:N89)</f>
        <v/>
      </c>
      <c r="Q89" s="15">
        <f>P89*10.0</f>
        <v/>
      </c>
      <c r="R89" s="15">
        <f>(P89*5.25*11.875*10.0)/12</f>
        <v/>
      </c>
      <c r="S89" s="16">
        <f>Q89*I89</f>
        <v/>
      </c>
      <c r="T89" s="16">
        <f>S89*1.0</f>
        <v/>
      </c>
      <c r="U89" s="14">
        <f>H89-P89</f>
        <v/>
      </c>
      <c r="V89" s="15">
        <f>U89*10.0</f>
        <v/>
      </c>
      <c r="W89" s="15" t="n">
        <v>0</v>
      </c>
      <c r="X89" s="16">
        <f>V89*I89</f>
        <v/>
      </c>
      <c r="Y89" s="16">
        <f>X89*1.0</f>
        <v/>
      </c>
      <c r="Z89" s="15" t="n">
        <v>0</v>
      </c>
      <c r="AA89" s="15">
        <f>Q89-Z89</f>
        <v/>
      </c>
      <c r="AB89" s="16">
        <f>AA89*I89</f>
        <v/>
      </c>
    </row>
    <row r="90">
      <c r="A90" s="12" t="inlineStr">
        <is>
          <t>LVL</t>
        </is>
      </c>
      <c r="B90" s="13" t="inlineStr">
        <is>
          <t>5-1/4 X 11-7/8 GLB/LVL</t>
        </is>
      </c>
      <c r="C90" s="12" t="n">
        <v>5.25</v>
      </c>
      <c r="D90" s="12" t="n">
        <v>11.875</v>
      </c>
      <c r="E90" s="12" t="n">
        <v>12</v>
      </c>
      <c r="F90" s="14" t="n">
        <v>3</v>
      </c>
      <c r="G90" s="14" t="n">
        <v>0</v>
      </c>
      <c r="H90" s="14">
        <f>F90+G90</f>
        <v/>
      </c>
      <c r="I90" s="15" t="n">
        <v>29.6</v>
      </c>
      <c r="J90" s="15">
        <f>H90*12.0</f>
        <v/>
      </c>
      <c r="K90" s="15" t="n">
        <v>0</v>
      </c>
      <c r="L90" s="16">
        <f>J90*I90</f>
        <v/>
      </c>
      <c r="M90" s="16">
        <f>L90*1.0</f>
        <v/>
      </c>
      <c r="N90" s="14" t="n">
        <v>0</v>
      </c>
      <c r="O90" s="12" t="inlineStr"/>
      <c r="P90" s="14">
        <f>SUM(N90:N90)</f>
        <v/>
      </c>
      <c r="Q90" s="15">
        <f>P90*12.0</f>
        <v/>
      </c>
      <c r="R90" s="15">
        <f>(P90*5.25*11.875*12.0)/12</f>
        <v/>
      </c>
      <c r="S90" s="16">
        <f>Q90*I90</f>
        <v/>
      </c>
      <c r="T90" s="16">
        <f>S90*1.0</f>
        <v/>
      </c>
      <c r="U90" s="14">
        <f>H90-P90</f>
        <v/>
      </c>
      <c r="V90" s="15">
        <f>U90*12.0</f>
        <v/>
      </c>
      <c r="W90" s="15" t="n">
        <v>0</v>
      </c>
      <c r="X90" s="16">
        <f>V90*I90</f>
        <v/>
      </c>
      <c r="Y90" s="16">
        <f>X90*1.0</f>
        <v/>
      </c>
      <c r="Z90" s="15" t="n">
        <v>0</v>
      </c>
      <c r="AA90" s="15">
        <f>Q90-Z90</f>
        <v/>
      </c>
      <c r="AB90" s="16">
        <f>AA90*I90</f>
        <v/>
      </c>
    </row>
    <row r="91">
      <c r="A91" s="12" t="inlineStr">
        <is>
          <t>LVL</t>
        </is>
      </c>
      <c r="B91" s="13" t="inlineStr">
        <is>
          <t>5-1/4 X 16 GLB/LVL</t>
        </is>
      </c>
      <c r="C91" s="12" t="n">
        <v>5.25</v>
      </c>
      <c r="D91" s="12" t="n">
        <v>16</v>
      </c>
      <c r="E91" s="12" t="n">
        <v>12</v>
      </c>
      <c r="F91" s="14" t="n">
        <v>4</v>
      </c>
      <c r="G91" s="14" t="n">
        <v>0</v>
      </c>
      <c r="H91" s="14">
        <f>F91+G91</f>
        <v/>
      </c>
      <c r="I91" s="15" t="n">
        <v>37.45</v>
      </c>
      <c r="J91" s="15">
        <f>H91*12.0</f>
        <v/>
      </c>
      <c r="K91" s="15" t="n">
        <v>0</v>
      </c>
      <c r="L91" s="16">
        <f>J91*I91</f>
        <v/>
      </c>
      <c r="M91" s="16">
        <f>L91*1.0</f>
        <v/>
      </c>
      <c r="N91" s="14" t="n">
        <v>0</v>
      </c>
      <c r="O91" s="12" t="inlineStr"/>
      <c r="P91" s="14">
        <f>SUM(N91:N91)</f>
        <v/>
      </c>
      <c r="Q91" s="15">
        <f>P91*12.0</f>
        <v/>
      </c>
      <c r="R91" s="15">
        <f>(P91*5.25*16.0*12.0)/12</f>
        <v/>
      </c>
      <c r="S91" s="16">
        <f>Q91*I91</f>
        <v/>
      </c>
      <c r="T91" s="16">
        <f>S91*1.0</f>
        <v/>
      </c>
      <c r="U91" s="14">
        <f>H91-P91</f>
        <v/>
      </c>
      <c r="V91" s="15">
        <f>U91*12.0</f>
        <v/>
      </c>
      <c r="W91" s="15" t="n">
        <v>0</v>
      </c>
      <c r="X91" s="16">
        <f>V91*I91</f>
        <v/>
      </c>
      <c r="Y91" s="16">
        <f>X91*1.0</f>
        <v/>
      </c>
      <c r="Z91" s="15" t="n">
        <v>0</v>
      </c>
      <c r="AA91" s="15">
        <f>Q91-Z91</f>
        <v/>
      </c>
      <c r="AB91" s="16">
        <f>AA91*I91</f>
        <v/>
      </c>
    </row>
    <row r="92">
      <c r="A92" s="12" t="inlineStr">
        <is>
          <t>LVL</t>
        </is>
      </c>
      <c r="B92" s="13" t="inlineStr">
        <is>
          <t>5-1/4 X 16 GLB/LVL</t>
        </is>
      </c>
      <c r="C92" s="12" t="n">
        <v>5.25</v>
      </c>
      <c r="D92" s="12" t="n">
        <v>16</v>
      </c>
      <c r="E92" s="12" t="n">
        <v>12</v>
      </c>
      <c r="F92" s="14" t="n">
        <v>2</v>
      </c>
      <c r="G92" s="14" t="n">
        <v>0</v>
      </c>
      <c r="H92" s="14">
        <f>F92+G92</f>
        <v/>
      </c>
      <c r="I92" s="15" t="n">
        <v>37.45</v>
      </c>
      <c r="J92" s="15">
        <f>H92*12.0</f>
        <v/>
      </c>
      <c r="K92" s="15" t="n">
        <v>0</v>
      </c>
      <c r="L92" s="16">
        <f>J92*I92</f>
        <v/>
      </c>
      <c r="M92" s="16">
        <f>L92*1.0</f>
        <v/>
      </c>
      <c r="N92" s="14" t="n">
        <v>0</v>
      </c>
      <c r="O92" s="12" t="inlineStr"/>
      <c r="P92" s="14">
        <f>SUM(N92:N92)</f>
        <v/>
      </c>
      <c r="Q92" s="15">
        <f>P92*12.0</f>
        <v/>
      </c>
      <c r="R92" s="15">
        <f>(P92*5.25*16.0*12.0)/12</f>
        <v/>
      </c>
      <c r="S92" s="16">
        <f>Q92*I92</f>
        <v/>
      </c>
      <c r="T92" s="16">
        <f>S92*1.0</f>
        <v/>
      </c>
      <c r="U92" s="14">
        <f>H92-P92</f>
        <v/>
      </c>
      <c r="V92" s="15">
        <f>U92*12.0</f>
        <v/>
      </c>
      <c r="W92" s="15" t="n">
        <v>0</v>
      </c>
      <c r="X92" s="16">
        <f>V92*I92</f>
        <v/>
      </c>
      <c r="Y92" s="16">
        <f>X92*1.0</f>
        <v/>
      </c>
      <c r="Z92" s="15" t="n">
        <v>0</v>
      </c>
      <c r="AA92" s="15">
        <f>Q92-Z92</f>
        <v/>
      </c>
      <c r="AB92" s="16">
        <f>AA92*I92</f>
        <v/>
      </c>
    </row>
    <row r="93">
      <c r="A93" s="12" t="inlineStr">
        <is>
          <t>LVL</t>
        </is>
      </c>
      <c r="B93" s="13" t="inlineStr">
        <is>
          <t>5-1/4 X 18 GLB/LVL</t>
        </is>
      </c>
      <c r="C93" s="12" t="n">
        <v>5.25</v>
      </c>
      <c r="D93" s="12" t="n">
        <v>18</v>
      </c>
      <c r="E93" s="12" t="n">
        <v>20</v>
      </c>
      <c r="F93" s="14" t="n">
        <v>2</v>
      </c>
      <c r="G93" s="14" t="n">
        <v>0</v>
      </c>
      <c r="H93" s="14">
        <f>F93+G93</f>
        <v/>
      </c>
      <c r="I93" s="15" t="n">
        <v>41</v>
      </c>
      <c r="J93" s="15">
        <f>H93*20.0</f>
        <v/>
      </c>
      <c r="K93" s="15" t="n">
        <v>0</v>
      </c>
      <c r="L93" s="16">
        <f>J93*I93</f>
        <v/>
      </c>
      <c r="M93" s="16">
        <f>L93*1.0</f>
        <v/>
      </c>
      <c r="N93" s="14" t="n">
        <v>0</v>
      </c>
      <c r="O93" s="12" t="inlineStr"/>
      <c r="P93" s="14">
        <f>SUM(N93:N93)</f>
        <v/>
      </c>
      <c r="Q93" s="15">
        <f>P93*20.0</f>
        <v/>
      </c>
      <c r="R93" s="15">
        <f>(P93*5.25*18.0*20.0)/12</f>
        <v/>
      </c>
      <c r="S93" s="16">
        <f>Q93*I93</f>
        <v/>
      </c>
      <c r="T93" s="16">
        <f>S93*1.0</f>
        <v/>
      </c>
      <c r="U93" s="14">
        <f>H93-P93</f>
        <v/>
      </c>
      <c r="V93" s="15">
        <f>U93*20.0</f>
        <v/>
      </c>
      <c r="W93" s="15" t="n">
        <v>0</v>
      </c>
      <c r="X93" s="16">
        <f>V93*I93</f>
        <v/>
      </c>
      <c r="Y93" s="16">
        <f>X93*1.0</f>
        <v/>
      </c>
      <c r="Z93" s="15" t="n">
        <v>0</v>
      </c>
      <c r="AA93" s="15">
        <f>Q93-Z93</f>
        <v/>
      </c>
      <c r="AB93" s="16">
        <f>AA93*I93</f>
        <v/>
      </c>
    </row>
    <row r="94">
      <c r="A94" s="12" t="inlineStr">
        <is>
          <t>LVL</t>
        </is>
      </c>
      <c r="B94" s="13" t="inlineStr">
        <is>
          <t>5-1/4 X 18 GLB/LVL</t>
        </is>
      </c>
      <c r="C94" s="12" t="n">
        <v>5.25</v>
      </c>
      <c r="D94" s="12" t="n">
        <v>18</v>
      </c>
      <c r="E94" s="12" t="n">
        <v>22</v>
      </c>
      <c r="F94" s="14" t="n">
        <v>5</v>
      </c>
      <c r="G94" s="14" t="n">
        <v>0</v>
      </c>
      <c r="H94" s="14">
        <f>F94+G94</f>
        <v/>
      </c>
      <c r="I94" s="15" t="n">
        <v>41</v>
      </c>
      <c r="J94" s="15">
        <f>H94*22.0</f>
        <v/>
      </c>
      <c r="K94" s="15" t="n">
        <v>0</v>
      </c>
      <c r="L94" s="16">
        <f>J94*I94</f>
        <v/>
      </c>
      <c r="M94" s="16">
        <f>L94*1.0</f>
        <v/>
      </c>
      <c r="N94" s="14" t="n">
        <v>0</v>
      </c>
      <c r="O94" s="12" t="inlineStr"/>
      <c r="P94" s="14">
        <f>SUM(N94:N94)</f>
        <v/>
      </c>
      <c r="Q94" s="15">
        <f>P94*22.0</f>
        <v/>
      </c>
      <c r="R94" s="15">
        <f>(P94*5.25*18.0*22.0)/12</f>
        <v/>
      </c>
      <c r="S94" s="16">
        <f>Q94*I94</f>
        <v/>
      </c>
      <c r="T94" s="16">
        <f>S94*1.0</f>
        <v/>
      </c>
      <c r="U94" s="14">
        <f>H94-P94</f>
        <v/>
      </c>
      <c r="V94" s="15">
        <f>U94*22.0</f>
        <v/>
      </c>
      <c r="W94" s="15" t="n">
        <v>0</v>
      </c>
      <c r="X94" s="16">
        <f>V94*I94</f>
        <v/>
      </c>
      <c r="Y94" s="16">
        <f>X94*1.0</f>
        <v/>
      </c>
      <c r="Z94" s="15" t="n">
        <v>0</v>
      </c>
      <c r="AA94" s="15">
        <f>Q94-Z94</f>
        <v/>
      </c>
      <c r="AB94" s="16">
        <f>AA94*I94</f>
        <v/>
      </c>
    </row>
    <row r="95">
      <c r="A95" s="12" t="inlineStr">
        <is>
          <t>LVL</t>
        </is>
      </c>
      <c r="B95" s="13" t="inlineStr">
        <is>
          <t>3-1/2 X 16 GLB/LVL PT</t>
        </is>
      </c>
      <c r="C95" s="12" t="n">
        <v>3.5</v>
      </c>
      <c r="D95" s="12" t="n">
        <v>16</v>
      </c>
      <c r="E95" s="12" t="n">
        <v>16</v>
      </c>
      <c r="F95" s="14" t="n">
        <v>20</v>
      </c>
      <c r="G95" s="14" t="n">
        <v>0</v>
      </c>
      <c r="H95" s="14">
        <f>F95+G95</f>
        <v/>
      </c>
      <c r="I95" s="15" t="n">
        <v>40.95</v>
      </c>
      <c r="J95" s="15">
        <f>H95*16.0</f>
        <v/>
      </c>
      <c r="K95" s="15" t="n">
        <v>0</v>
      </c>
      <c r="L95" s="16">
        <f>J95*I95</f>
        <v/>
      </c>
      <c r="M95" s="16">
        <f>L95*1.0</f>
        <v/>
      </c>
      <c r="N95" s="14" t="n">
        <v>0</v>
      </c>
      <c r="O95" s="12" t="inlineStr"/>
      <c r="P95" s="14">
        <f>SUM(N95:N95)</f>
        <v/>
      </c>
      <c r="Q95" s="15">
        <f>P95*16.0</f>
        <v/>
      </c>
      <c r="R95" s="15">
        <f>(P95*3.5*16.0*16.0)/12</f>
        <v/>
      </c>
      <c r="S95" s="16">
        <f>Q95*I95</f>
        <v/>
      </c>
      <c r="T95" s="16">
        <f>S95*1.0</f>
        <v/>
      </c>
      <c r="U95" s="14">
        <f>H95-P95</f>
        <v/>
      </c>
      <c r="V95" s="15">
        <f>U95*16.0</f>
        <v/>
      </c>
      <c r="W95" s="15" t="n">
        <v>0</v>
      </c>
      <c r="X95" s="16">
        <f>V95*I95</f>
        <v/>
      </c>
      <c r="Y95" s="16">
        <f>X95*1.0</f>
        <v/>
      </c>
      <c r="Z95" s="15" t="n">
        <v>0</v>
      </c>
      <c r="AA95" s="15">
        <f>Q95-Z95</f>
        <v/>
      </c>
      <c r="AB95" s="16">
        <f>AA95*I95</f>
        <v/>
      </c>
    </row>
    <row r="96">
      <c r="A96" s="12" t="inlineStr">
        <is>
          <t>LVL</t>
        </is>
      </c>
      <c r="B96" s="13" t="inlineStr">
        <is>
          <t>3-1/2 X 5-1/2 GLB</t>
        </is>
      </c>
      <c r="C96" s="12" t="n">
        <v>3.5</v>
      </c>
      <c r="D96" s="12" t="n">
        <v>5.5</v>
      </c>
      <c r="E96" s="12" t="n">
        <v>10</v>
      </c>
      <c r="F96" s="14" t="n">
        <v>31</v>
      </c>
      <c r="G96" s="14" t="n">
        <v>0</v>
      </c>
      <c r="H96" s="14">
        <f>F96+G96</f>
        <v/>
      </c>
      <c r="I96" s="15" t="n">
        <v>5.6</v>
      </c>
      <c r="J96" s="15">
        <f>H96*10.0</f>
        <v/>
      </c>
      <c r="K96" s="15" t="n">
        <v>0</v>
      </c>
      <c r="L96" s="16">
        <f>J96*I96</f>
        <v/>
      </c>
      <c r="M96" s="16">
        <f>L96*1.0</f>
        <v/>
      </c>
      <c r="N96" s="14" t="n">
        <v>0</v>
      </c>
      <c r="O96" s="12" t="inlineStr"/>
      <c r="P96" s="14">
        <f>SUM(N96:N96)</f>
        <v/>
      </c>
      <c r="Q96" s="15">
        <f>P96*10.0</f>
        <v/>
      </c>
      <c r="R96" s="15">
        <f>(P96*3.5*5.5*10.0)/12</f>
        <v/>
      </c>
      <c r="S96" s="16">
        <f>Q96*I96</f>
        <v/>
      </c>
      <c r="T96" s="16">
        <f>S96*1.0</f>
        <v/>
      </c>
      <c r="U96" s="14">
        <f>H96-P96</f>
        <v/>
      </c>
      <c r="V96" s="15">
        <f>U96*10.0</f>
        <v/>
      </c>
      <c r="W96" s="15" t="n">
        <v>0</v>
      </c>
      <c r="X96" s="16">
        <f>V96*I96</f>
        <v/>
      </c>
      <c r="Y96" s="16">
        <f>X96*1.0</f>
        <v/>
      </c>
      <c r="Z96" s="15" t="n">
        <v>0</v>
      </c>
      <c r="AA96" s="15">
        <f>Q96-Z96</f>
        <v/>
      </c>
      <c r="AB96" s="16">
        <f>AA96*I96</f>
        <v/>
      </c>
    </row>
    <row r="97">
      <c r="A97" s="12" t="inlineStr">
        <is>
          <t>LVL</t>
        </is>
      </c>
      <c r="B97" s="13" t="inlineStr">
        <is>
          <t>3-1/2 X 5-1/2 GLB</t>
        </is>
      </c>
      <c r="C97" s="12" t="n">
        <v>3.5</v>
      </c>
      <c r="D97" s="12" t="n">
        <v>5.5</v>
      </c>
      <c r="E97" s="12" t="n">
        <v>10</v>
      </c>
      <c r="F97" s="14" t="n">
        <v>3</v>
      </c>
      <c r="G97" s="14" t="n">
        <v>0</v>
      </c>
      <c r="H97" s="14">
        <f>F97+G97</f>
        <v/>
      </c>
      <c r="I97" s="15" t="n">
        <v>5.6</v>
      </c>
      <c r="J97" s="15">
        <f>H97*10.0</f>
        <v/>
      </c>
      <c r="K97" s="15" t="n">
        <v>0</v>
      </c>
      <c r="L97" s="16">
        <f>J97*I97</f>
        <v/>
      </c>
      <c r="M97" s="16">
        <f>L97*1.0</f>
        <v/>
      </c>
      <c r="N97" s="14" t="n">
        <v>0</v>
      </c>
      <c r="O97" s="12" t="inlineStr"/>
      <c r="P97" s="14">
        <f>SUM(N97:N97)</f>
        <v/>
      </c>
      <c r="Q97" s="15">
        <f>P97*10.0</f>
        <v/>
      </c>
      <c r="R97" s="15">
        <f>(P97*3.5*5.5*10.0)/12</f>
        <v/>
      </c>
      <c r="S97" s="16">
        <f>Q97*I97</f>
        <v/>
      </c>
      <c r="T97" s="16">
        <f>S97*1.0</f>
        <v/>
      </c>
      <c r="U97" s="14">
        <f>H97-P97</f>
        <v/>
      </c>
      <c r="V97" s="15">
        <f>U97*10.0</f>
        <v/>
      </c>
      <c r="W97" s="15" t="n">
        <v>0</v>
      </c>
      <c r="X97" s="16">
        <f>V97*I97</f>
        <v/>
      </c>
      <c r="Y97" s="16">
        <f>X97*1.0</f>
        <v/>
      </c>
      <c r="Z97" s="15" t="n">
        <v>0</v>
      </c>
      <c r="AA97" s="15">
        <f>Q97-Z97</f>
        <v/>
      </c>
      <c r="AB97" s="16">
        <f>AA97*I97</f>
        <v/>
      </c>
    </row>
    <row r="98">
      <c r="A98" s="12" t="inlineStr">
        <is>
          <t>LVL</t>
        </is>
      </c>
      <c r="B98" s="13" t="inlineStr">
        <is>
          <t>3-1/2 X 5-1/2 GLB</t>
        </is>
      </c>
      <c r="C98" s="12" t="n">
        <v>3.5</v>
      </c>
      <c r="D98" s="12" t="n">
        <v>5.5</v>
      </c>
      <c r="E98" s="12" t="n">
        <v>12</v>
      </c>
      <c r="F98" s="14" t="n">
        <v>5</v>
      </c>
      <c r="G98" s="14" t="n">
        <v>0</v>
      </c>
      <c r="H98" s="14">
        <f>F98+G98</f>
        <v/>
      </c>
      <c r="I98" s="15" t="n">
        <v>5.6</v>
      </c>
      <c r="J98" s="15">
        <f>H98*12.0</f>
        <v/>
      </c>
      <c r="K98" s="15" t="n">
        <v>0</v>
      </c>
      <c r="L98" s="16">
        <f>J98*I98</f>
        <v/>
      </c>
      <c r="M98" s="16">
        <f>L98*1.0</f>
        <v/>
      </c>
      <c r="N98" s="14" t="n">
        <v>0</v>
      </c>
      <c r="O98" s="12" t="inlineStr"/>
      <c r="P98" s="14">
        <f>SUM(N98:N98)</f>
        <v/>
      </c>
      <c r="Q98" s="15">
        <f>P98*12.0</f>
        <v/>
      </c>
      <c r="R98" s="15">
        <f>(P98*3.5*5.5*12.0)/12</f>
        <v/>
      </c>
      <c r="S98" s="16">
        <f>Q98*I98</f>
        <v/>
      </c>
      <c r="T98" s="16">
        <f>S98*1.0</f>
        <v/>
      </c>
      <c r="U98" s="14">
        <f>H98-P98</f>
        <v/>
      </c>
      <c r="V98" s="15">
        <f>U98*12.0</f>
        <v/>
      </c>
      <c r="W98" s="15" t="n">
        <v>0</v>
      </c>
      <c r="X98" s="16">
        <f>V98*I98</f>
        <v/>
      </c>
      <c r="Y98" s="16">
        <f>X98*1.0</f>
        <v/>
      </c>
      <c r="Z98" s="15" t="n">
        <v>0</v>
      </c>
      <c r="AA98" s="15">
        <f>Q98-Z98</f>
        <v/>
      </c>
      <c r="AB98" s="16">
        <f>AA98*I98</f>
        <v/>
      </c>
    </row>
    <row r="99">
      <c r="A99" s="12" t="inlineStr">
        <is>
          <t>LVL</t>
        </is>
      </c>
      <c r="B99" s="13" t="inlineStr">
        <is>
          <t>5-1/4 X 5-1/2 GLB/LVL</t>
        </is>
      </c>
      <c r="C99" s="12" t="n">
        <v>5.25</v>
      </c>
      <c r="D99" s="12" t="n">
        <v>5.5</v>
      </c>
      <c r="E99" s="12" t="n">
        <v>10</v>
      </c>
      <c r="F99" s="14" t="n">
        <v>15</v>
      </c>
      <c r="G99" s="14" t="n">
        <v>0</v>
      </c>
      <c r="H99" s="14">
        <f>F99+G99</f>
        <v/>
      </c>
      <c r="I99" s="15" t="n">
        <v>13.7</v>
      </c>
      <c r="J99" s="15">
        <f>H99*10.0</f>
        <v/>
      </c>
      <c r="K99" s="15" t="n">
        <v>0</v>
      </c>
      <c r="L99" s="16">
        <f>J99*I99</f>
        <v/>
      </c>
      <c r="M99" s="16">
        <f>L99*1.0</f>
        <v/>
      </c>
      <c r="N99" s="14" t="n">
        <v>0</v>
      </c>
      <c r="O99" s="12" t="inlineStr"/>
      <c r="P99" s="14">
        <f>SUM(N99:N99)</f>
        <v/>
      </c>
      <c r="Q99" s="15">
        <f>P99*10.0</f>
        <v/>
      </c>
      <c r="R99" s="15">
        <f>(P99*5.25*5.5*10.0)/12</f>
        <v/>
      </c>
      <c r="S99" s="16">
        <f>Q99*I99</f>
        <v/>
      </c>
      <c r="T99" s="16">
        <f>S99*1.0</f>
        <v/>
      </c>
      <c r="U99" s="14">
        <f>H99-P99</f>
        <v/>
      </c>
      <c r="V99" s="15">
        <f>U99*10.0</f>
        <v/>
      </c>
      <c r="W99" s="15" t="n">
        <v>0</v>
      </c>
      <c r="X99" s="16">
        <f>V99*I99</f>
        <v/>
      </c>
      <c r="Y99" s="16">
        <f>X99*1.0</f>
        <v/>
      </c>
      <c r="Z99" s="15" t="n">
        <v>0</v>
      </c>
      <c r="AA99" s="15">
        <f>Q99-Z99</f>
        <v/>
      </c>
      <c r="AB99" s="16">
        <f>AA99*I99</f>
        <v/>
      </c>
    </row>
    <row r="100">
      <c r="A100" s="12" t="inlineStr">
        <is>
          <t>LVL</t>
        </is>
      </c>
      <c r="B100" s="13" t="inlineStr">
        <is>
          <t>3-1/2 X 16 GLB/LVL PT</t>
        </is>
      </c>
      <c r="C100" s="12" t="n">
        <v>3.5</v>
      </c>
      <c r="D100" s="12" t="n">
        <v>16</v>
      </c>
      <c r="E100" s="12" t="n">
        <v>18</v>
      </c>
      <c r="F100" s="14" t="n">
        <v>75</v>
      </c>
      <c r="G100" s="14" t="n">
        <v>0</v>
      </c>
      <c r="H100" s="14">
        <f>F100+G100</f>
        <v/>
      </c>
      <c r="I100" s="15" t="n">
        <v>54</v>
      </c>
      <c r="J100" s="15">
        <f>H100*18.0</f>
        <v/>
      </c>
      <c r="K100" s="15" t="n">
        <v>0</v>
      </c>
      <c r="L100" s="16">
        <f>J100*I100</f>
        <v/>
      </c>
      <c r="M100" s="16">
        <f>L100*1.0</f>
        <v/>
      </c>
      <c r="N100" s="14" t="n">
        <v>0</v>
      </c>
      <c r="O100" s="12" t="inlineStr"/>
      <c r="P100" s="14">
        <f>SUM(N100:N100)</f>
        <v/>
      </c>
      <c r="Q100" s="15">
        <f>P100*18.0</f>
        <v/>
      </c>
      <c r="R100" s="15">
        <f>(P100*3.5*16.0*18.0)/12</f>
        <v/>
      </c>
      <c r="S100" s="16">
        <f>Q100*I100</f>
        <v/>
      </c>
      <c r="T100" s="16">
        <f>S100*1.0</f>
        <v/>
      </c>
      <c r="U100" s="14">
        <f>H100-P100</f>
        <v/>
      </c>
      <c r="V100" s="15">
        <f>U100*18.0</f>
        <v/>
      </c>
      <c r="W100" s="15" t="n">
        <v>0</v>
      </c>
      <c r="X100" s="16">
        <f>V100*I100</f>
        <v/>
      </c>
      <c r="Y100" s="16">
        <f>X100*1.0</f>
        <v/>
      </c>
      <c r="Z100" s="15" t="n">
        <v>0</v>
      </c>
      <c r="AA100" s="15">
        <f>Q100-Z100</f>
        <v/>
      </c>
      <c r="AB100" s="16">
        <f>AA100*I100</f>
        <v/>
      </c>
    </row>
    <row r="101">
      <c r="A101" s="12" t="inlineStr">
        <is>
          <t>LVL</t>
        </is>
      </c>
      <c r="B101" s="13" t="inlineStr">
        <is>
          <t>5-1/4 X 16 GLB/LVL PT</t>
        </is>
      </c>
      <c r="C101" s="12" t="n">
        <v>5.25</v>
      </c>
      <c r="D101" s="12" t="n">
        <v>16</v>
      </c>
      <c r="E101" s="12" t="n">
        <v>18</v>
      </c>
      <c r="F101" s="14" t="n">
        <v>7</v>
      </c>
      <c r="G101" s="14" t="n">
        <v>0</v>
      </c>
      <c r="H101" s="14">
        <f>F101+G101</f>
        <v/>
      </c>
      <c r="I101" s="15" t="n">
        <v>54</v>
      </c>
      <c r="J101" s="15">
        <f>H101*18.0</f>
        <v/>
      </c>
      <c r="K101" s="15" t="n">
        <v>0</v>
      </c>
      <c r="L101" s="16">
        <f>J101*I101</f>
        <v/>
      </c>
      <c r="M101" s="16">
        <f>L101*1.0</f>
        <v/>
      </c>
      <c r="N101" s="14" t="n">
        <v>0</v>
      </c>
      <c r="O101" s="12" t="inlineStr"/>
      <c r="P101" s="14">
        <f>SUM(N101:N101)</f>
        <v/>
      </c>
      <c r="Q101" s="15">
        <f>P101*18.0</f>
        <v/>
      </c>
      <c r="R101" s="15">
        <f>(P101*5.25*16.0*18.0)/12</f>
        <v/>
      </c>
      <c r="S101" s="16">
        <f>Q101*I101</f>
        <v/>
      </c>
      <c r="T101" s="16">
        <f>S101*1.0</f>
        <v/>
      </c>
      <c r="U101" s="14">
        <f>H101-P101</f>
        <v/>
      </c>
      <c r="V101" s="15">
        <f>U101*18.0</f>
        <v/>
      </c>
      <c r="W101" s="15" t="n">
        <v>0</v>
      </c>
      <c r="X101" s="16">
        <f>V101*I101</f>
        <v/>
      </c>
      <c r="Y101" s="16">
        <f>X101*1.0</f>
        <v/>
      </c>
      <c r="Z101" s="15" t="n">
        <v>0</v>
      </c>
      <c r="AA101" s="15">
        <f>Q101-Z101</f>
        <v/>
      </c>
      <c r="AB101" s="16">
        <f>AA101*I101</f>
        <v/>
      </c>
    </row>
    <row r="102">
      <c r="A102" s="12" t="inlineStr">
        <is>
          <t>LVL</t>
        </is>
      </c>
      <c r="B102" s="13" t="inlineStr">
        <is>
          <t>3-1/2 X 11-7/8 GLB/LVL PT</t>
        </is>
      </c>
      <c r="C102" s="12" t="n">
        <v>3.5</v>
      </c>
      <c r="D102" s="12" t="n">
        <v>11.875</v>
      </c>
      <c r="E102" s="12" t="n">
        <v>12</v>
      </c>
      <c r="F102" s="14" t="n">
        <v>1</v>
      </c>
      <c r="G102" s="14" t="n">
        <v>0</v>
      </c>
      <c r="H102" s="14">
        <f>F102+G102</f>
        <v/>
      </c>
      <c r="I102" s="15" t="n">
        <v>30.15</v>
      </c>
      <c r="J102" s="15">
        <f>H102*12.0</f>
        <v/>
      </c>
      <c r="K102" s="15" t="n">
        <v>0</v>
      </c>
      <c r="L102" s="16">
        <f>J102*I102</f>
        <v/>
      </c>
      <c r="M102" s="16">
        <f>L102*1.0</f>
        <v/>
      </c>
      <c r="N102" s="14" t="n">
        <v>0</v>
      </c>
      <c r="O102" s="12" t="inlineStr"/>
      <c r="P102" s="14">
        <f>SUM(N102:N102)</f>
        <v/>
      </c>
      <c r="Q102" s="15">
        <f>P102*12.0</f>
        <v/>
      </c>
      <c r="R102" s="15">
        <f>(P102*3.5*11.875*12.0)/12</f>
        <v/>
      </c>
      <c r="S102" s="16">
        <f>Q102*I102</f>
        <v/>
      </c>
      <c r="T102" s="16">
        <f>S102*1.0</f>
        <v/>
      </c>
      <c r="U102" s="14">
        <f>H102-P102</f>
        <v/>
      </c>
      <c r="V102" s="15">
        <f>U102*12.0</f>
        <v/>
      </c>
      <c r="W102" s="15" t="n">
        <v>0</v>
      </c>
      <c r="X102" s="16">
        <f>V102*I102</f>
        <v/>
      </c>
      <c r="Y102" s="16">
        <f>X102*1.0</f>
        <v/>
      </c>
      <c r="Z102" s="15" t="n">
        <v>0</v>
      </c>
      <c r="AA102" s="15">
        <f>Q102-Z102</f>
        <v/>
      </c>
      <c r="AB102" s="16">
        <f>AA102*I102</f>
        <v/>
      </c>
    </row>
    <row r="103">
      <c r="A103" s="12" t="inlineStr">
        <is>
          <t>LVL</t>
        </is>
      </c>
      <c r="B103" s="13" t="inlineStr">
        <is>
          <t>3-1/2 X 11-7/8 GLB/LVL PT</t>
        </is>
      </c>
      <c r="C103" s="12" t="n">
        <v>3.5</v>
      </c>
      <c r="D103" s="12" t="n">
        <v>11.875</v>
      </c>
      <c r="E103" s="12" t="n">
        <v>14</v>
      </c>
      <c r="F103" s="14" t="n">
        <v>5</v>
      </c>
      <c r="G103" s="14" t="n">
        <v>0</v>
      </c>
      <c r="H103" s="14">
        <f>F103+G103</f>
        <v/>
      </c>
      <c r="I103" s="15" t="n">
        <v>30.15</v>
      </c>
      <c r="J103" s="15">
        <f>H103*14.0</f>
        <v/>
      </c>
      <c r="K103" s="15" t="n">
        <v>0</v>
      </c>
      <c r="L103" s="16">
        <f>J103*I103</f>
        <v/>
      </c>
      <c r="M103" s="16">
        <f>L103*1.0</f>
        <v/>
      </c>
      <c r="N103" s="14" t="n">
        <v>0</v>
      </c>
      <c r="O103" s="12" t="inlineStr"/>
      <c r="P103" s="14">
        <f>SUM(N103:N103)</f>
        <v/>
      </c>
      <c r="Q103" s="15">
        <f>P103*14.0</f>
        <v/>
      </c>
      <c r="R103" s="15">
        <f>(P103*3.5*11.875*14.0)/12</f>
        <v/>
      </c>
      <c r="S103" s="16">
        <f>Q103*I103</f>
        <v/>
      </c>
      <c r="T103" s="16">
        <f>S103*1.0</f>
        <v/>
      </c>
      <c r="U103" s="14">
        <f>H103-P103</f>
        <v/>
      </c>
      <c r="V103" s="15">
        <f>U103*14.0</f>
        <v/>
      </c>
      <c r="W103" s="15" t="n">
        <v>0</v>
      </c>
      <c r="X103" s="16">
        <f>V103*I103</f>
        <v/>
      </c>
      <c r="Y103" s="16">
        <f>X103*1.0</f>
        <v/>
      </c>
      <c r="Z103" s="15" t="n">
        <v>0</v>
      </c>
      <c r="AA103" s="15">
        <f>Q103-Z103</f>
        <v/>
      </c>
      <c r="AB103" s="16">
        <f>AA103*I103</f>
        <v/>
      </c>
    </row>
    <row r="104">
      <c r="A104" s="12" t="inlineStr">
        <is>
          <t>LVL</t>
        </is>
      </c>
      <c r="B104" s="13" t="inlineStr">
        <is>
          <t>3-1/2 X 16 GLB/LVL PT</t>
        </is>
      </c>
      <c r="C104" s="12" t="n">
        <v>3.5</v>
      </c>
      <c r="D104" s="12" t="n">
        <v>16</v>
      </c>
      <c r="E104" s="12" t="n">
        <v>10</v>
      </c>
      <c r="F104" s="14" t="n">
        <v>74</v>
      </c>
      <c r="G104" s="14" t="n">
        <v>0</v>
      </c>
      <c r="H104" s="14">
        <f>F104+G104</f>
        <v/>
      </c>
      <c r="I104" s="15" t="n">
        <v>40.95</v>
      </c>
      <c r="J104" s="15">
        <f>H104*10.0</f>
        <v/>
      </c>
      <c r="K104" s="15" t="n">
        <v>0</v>
      </c>
      <c r="L104" s="16">
        <f>J104*I104</f>
        <v/>
      </c>
      <c r="M104" s="16">
        <f>L104*1.0</f>
        <v/>
      </c>
      <c r="N104" s="14" t="n">
        <v>0</v>
      </c>
      <c r="O104" s="12" t="inlineStr"/>
      <c r="P104" s="14">
        <f>SUM(N104:N104)</f>
        <v/>
      </c>
      <c r="Q104" s="15">
        <f>P104*10.0</f>
        <v/>
      </c>
      <c r="R104" s="15">
        <f>(P104*3.5*16.0*10.0)/12</f>
        <v/>
      </c>
      <c r="S104" s="16">
        <f>Q104*I104</f>
        <v/>
      </c>
      <c r="T104" s="16">
        <f>S104*1.0</f>
        <v/>
      </c>
      <c r="U104" s="14">
        <f>H104-P104</f>
        <v/>
      </c>
      <c r="V104" s="15">
        <f>U104*10.0</f>
        <v/>
      </c>
      <c r="W104" s="15" t="n">
        <v>0</v>
      </c>
      <c r="X104" s="16">
        <f>V104*I104</f>
        <v/>
      </c>
      <c r="Y104" s="16">
        <f>X104*1.0</f>
        <v/>
      </c>
      <c r="Z104" s="15" t="n">
        <v>0</v>
      </c>
      <c r="AA104" s="15">
        <f>Q104-Z104</f>
        <v/>
      </c>
      <c r="AB104" s="16">
        <f>AA104*I104</f>
        <v/>
      </c>
    </row>
    <row r="105">
      <c r="A105" s="12" t="inlineStr">
        <is>
          <t>LVL</t>
        </is>
      </c>
      <c r="B105" s="13" t="inlineStr">
        <is>
          <t>3-1/2 X 16 GLB/LVL PT</t>
        </is>
      </c>
      <c r="C105" s="12" t="n">
        <v>3.5</v>
      </c>
      <c r="D105" s="12" t="n">
        <v>16</v>
      </c>
      <c r="E105" s="12" t="n">
        <v>12</v>
      </c>
      <c r="F105" s="14" t="n">
        <v>9</v>
      </c>
      <c r="G105" s="14" t="n">
        <v>0</v>
      </c>
      <c r="H105" s="14">
        <f>F105+G105</f>
        <v/>
      </c>
      <c r="I105" s="15" t="n">
        <v>40.95</v>
      </c>
      <c r="J105" s="15">
        <f>H105*12.0</f>
        <v/>
      </c>
      <c r="K105" s="15" t="n">
        <v>0</v>
      </c>
      <c r="L105" s="16">
        <f>J105*I105</f>
        <v/>
      </c>
      <c r="M105" s="16">
        <f>L105*1.0</f>
        <v/>
      </c>
      <c r="N105" s="14" t="n">
        <v>0</v>
      </c>
      <c r="O105" s="12" t="inlineStr"/>
      <c r="P105" s="14">
        <f>SUM(N105:N105)</f>
        <v/>
      </c>
      <c r="Q105" s="15">
        <f>P105*12.0</f>
        <v/>
      </c>
      <c r="R105" s="15">
        <f>(P105*3.5*16.0*12.0)/12</f>
        <v/>
      </c>
      <c r="S105" s="16">
        <f>Q105*I105</f>
        <v/>
      </c>
      <c r="T105" s="16">
        <f>S105*1.0</f>
        <v/>
      </c>
      <c r="U105" s="14">
        <f>H105-P105</f>
        <v/>
      </c>
      <c r="V105" s="15">
        <f>U105*12.0</f>
        <v/>
      </c>
      <c r="W105" s="15" t="n">
        <v>0</v>
      </c>
      <c r="X105" s="16">
        <f>V105*I105</f>
        <v/>
      </c>
      <c r="Y105" s="16">
        <f>X105*1.0</f>
        <v/>
      </c>
      <c r="Z105" s="15" t="n">
        <v>0</v>
      </c>
      <c r="AA105" s="15">
        <f>Q105-Z105</f>
        <v/>
      </c>
      <c r="AB105" s="16">
        <f>AA105*I105</f>
        <v/>
      </c>
    </row>
    <row r="106" ht="18" customHeight="1">
      <c r="A106" s="17" t="inlineStr">
        <is>
          <t>LVL SUBTOTAL</t>
        </is>
      </c>
      <c r="B106" s="18" t="inlineStr"/>
      <c r="C106" s="18" t="inlineStr"/>
      <c r="D106" s="18" t="inlineStr"/>
      <c r="E106" s="18" t="inlineStr"/>
      <c r="F106" s="19">
        <f>SUM(F69:F105)</f>
        <v/>
      </c>
      <c r="G106" s="19">
        <f>SUM(G69:G105)</f>
        <v/>
      </c>
      <c r="H106" s="19">
        <f>SUM(H69:H105)</f>
        <v/>
      </c>
      <c r="I106" s="18" t="inlineStr"/>
      <c r="J106" s="20">
        <f>SUM(J69:J105)</f>
        <v/>
      </c>
      <c r="K106" s="20">
        <f>SUM(K69:K105)</f>
        <v/>
      </c>
      <c r="L106" s="21">
        <f>SUM(L69:L105)</f>
        <v/>
      </c>
      <c r="M106" s="21">
        <f>SUM(M69:M105)</f>
        <v/>
      </c>
      <c r="N106" s="18">
        <f>SUM(N69:N105)</f>
        <v/>
      </c>
      <c r="O106" s="18" t="inlineStr"/>
      <c r="P106" s="19">
        <f>SUM(P69:P105)</f>
        <v/>
      </c>
      <c r="Q106" s="20">
        <f>SUM(Q69:Q105)</f>
        <v/>
      </c>
      <c r="R106" s="20">
        <f>SUM(R69:R105)</f>
        <v/>
      </c>
      <c r="S106" s="21">
        <f>SUM(S69:S105)</f>
        <v/>
      </c>
      <c r="T106" s="21">
        <f>SUM(T69:T105)</f>
        <v/>
      </c>
      <c r="U106" s="19">
        <f>SUM(U69:U105)</f>
        <v/>
      </c>
      <c r="V106" s="20">
        <f>SUM(V69:V105)</f>
        <v/>
      </c>
      <c r="W106" s="20">
        <f>SUM(W69:W105)</f>
        <v/>
      </c>
      <c r="X106" s="21">
        <f>SUM(X69:X105)</f>
        <v/>
      </c>
      <c r="Y106" s="21">
        <f>SUM(Y69:Y105)</f>
        <v/>
      </c>
      <c r="Z106" s="20">
        <f>SUM(Z69:Z105)</f>
        <v/>
      </c>
      <c r="AA106" s="20">
        <f>SUM(AA69:AA105)</f>
        <v/>
      </c>
      <c r="AB106" s="21">
        <f>SUM(AB69:AB105)</f>
        <v/>
      </c>
    </row>
    <row r="107" ht="5" customHeight="1"/>
    <row r="108">
      <c r="A108" s="22" t="inlineStr">
        <is>
          <t>Each</t>
        </is>
      </c>
      <c r="B108" s="23" t="inlineStr">
        <is>
          <t>4" Sealer</t>
        </is>
      </c>
      <c r="C108" s="22" t="inlineStr"/>
      <c r="D108" s="22" t="inlineStr"/>
      <c r="E108" s="22" t="inlineStr"/>
      <c r="F108" s="24" t="n">
        <v>369</v>
      </c>
      <c r="G108" s="24" t="n">
        <v>0</v>
      </c>
      <c r="H108" s="24">
        <f>F108+G108</f>
        <v/>
      </c>
      <c r="I108" s="25" t="n">
        <v>5</v>
      </c>
      <c r="J108" s="25" t="n">
        <v>0</v>
      </c>
      <c r="K108" s="25" t="n">
        <v>0</v>
      </c>
      <c r="L108" s="26">
        <f>H108*I108</f>
        <v/>
      </c>
      <c r="M108" s="26">
        <f>L108*1.0</f>
        <v/>
      </c>
      <c r="N108" s="24" t="n">
        <v>0</v>
      </c>
      <c r="O108" s="22" t="inlineStr"/>
      <c r="P108" s="24">
        <f>SUM(N108:N108)</f>
        <v/>
      </c>
      <c r="Q108" s="25" t="n">
        <v>0</v>
      </c>
      <c r="R108" s="25" t="n">
        <v>0</v>
      </c>
      <c r="S108" s="26">
        <f>P108*I108</f>
        <v/>
      </c>
      <c r="T108" s="26">
        <f>S108*1.0</f>
        <v/>
      </c>
      <c r="U108" s="24">
        <f>H108-P108</f>
        <v/>
      </c>
      <c r="V108" s="25" t="n">
        <v>0</v>
      </c>
      <c r="W108" s="25" t="n">
        <v>0</v>
      </c>
      <c r="X108" s="26">
        <f>U108*I108</f>
        <v/>
      </c>
      <c r="Y108" s="26">
        <f>X108*1.0</f>
        <v/>
      </c>
      <c r="Z108" s="25" t="n">
        <v>0</v>
      </c>
      <c r="AA108" s="25" t="n">
        <v>0</v>
      </c>
      <c r="AB108" s="26" t="n">
        <v>0</v>
      </c>
    </row>
    <row r="109">
      <c r="A109" s="22" t="inlineStr">
        <is>
          <t>Each</t>
        </is>
      </c>
      <c r="B109" s="23" t="inlineStr">
        <is>
          <t>6" Sealer</t>
        </is>
      </c>
      <c r="C109" s="22" t="inlineStr"/>
      <c r="D109" s="22" t="inlineStr"/>
      <c r="E109" s="22" t="inlineStr"/>
      <c r="F109" s="24" t="n">
        <v>258</v>
      </c>
      <c r="G109" s="24" t="n">
        <v>0</v>
      </c>
      <c r="H109" s="24">
        <f>F109+G109</f>
        <v/>
      </c>
      <c r="I109" s="25" t="n">
        <v>5</v>
      </c>
      <c r="J109" s="25" t="n">
        <v>0</v>
      </c>
      <c r="K109" s="25" t="n">
        <v>0</v>
      </c>
      <c r="L109" s="26">
        <f>H109*I109</f>
        <v/>
      </c>
      <c r="M109" s="26">
        <f>L109*1.0</f>
        <v/>
      </c>
      <c r="N109" s="24" t="n">
        <v>0</v>
      </c>
      <c r="O109" s="22" t="inlineStr"/>
      <c r="P109" s="24">
        <f>SUM(N109:N109)</f>
        <v/>
      </c>
      <c r="Q109" s="25" t="n">
        <v>0</v>
      </c>
      <c r="R109" s="25" t="n">
        <v>0</v>
      </c>
      <c r="S109" s="26">
        <f>P109*I109</f>
        <v/>
      </c>
      <c r="T109" s="26">
        <f>S109*1.0</f>
        <v/>
      </c>
      <c r="U109" s="24">
        <f>H109-P109</f>
        <v/>
      </c>
      <c r="V109" s="25" t="n">
        <v>0</v>
      </c>
      <c r="W109" s="25" t="n">
        <v>0</v>
      </c>
      <c r="X109" s="26">
        <f>U109*I109</f>
        <v/>
      </c>
      <c r="Y109" s="26">
        <f>X109*1.0</f>
        <v/>
      </c>
      <c r="Z109" s="25" t="n">
        <v>0</v>
      </c>
      <c r="AA109" s="25" t="n">
        <v>0</v>
      </c>
      <c r="AB109" s="26" t="n">
        <v>0</v>
      </c>
    </row>
    <row r="110">
      <c r="A110" s="22" t="inlineStr">
        <is>
          <t>Each</t>
        </is>
      </c>
      <c r="B110" s="23" t="inlineStr">
        <is>
          <t>2X12 Gypsum Liner</t>
        </is>
      </c>
      <c r="C110" s="22" t="inlineStr"/>
      <c r="D110" s="22" t="inlineStr"/>
      <c r="E110" s="22" t="inlineStr"/>
      <c r="F110" s="24" t="n">
        <v>186</v>
      </c>
      <c r="G110" s="24" t="n">
        <v>0</v>
      </c>
      <c r="H110" s="24">
        <f>F110+G110</f>
        <v/>
      </c>
      <c r="I110" s="25" t="n">
        <v>35.88</v>
      </c>
      <c r="J110" s="25" t="n">
        <v>0</v>
      </c>
      <c r="K110" s="25" t="n">
        <v>0</v>
      </c>
      <c r="L110" s="26">
        <f>H110*I110</f>
        <v/>
      </c>
      <c r="M110" s="26">
        <f>L110*1.0</f>
        <v/>
      </c>
      <c r="N110" s="24" t="n">
        <v>0</v>
      </c>
      <c r="O110" s="22" t="inlineStr"/>
      <c r="P110" s="24">
        <f>SUM(N110:N110)</f>
        <v/>
      </c>
      <c r="Q110" s="25" t="n">
        <v>0</v>
      </c>
      <c r="R110" s="25" t="n">
        <v>0</v>
      </c>
      <c r="S110" s="26">
        <f>P110*I110</f>
        <v/>
      </c>
      <c r="T110" s="26">
        <f>S110*1.0</f>
        <v/>
      </c>
      <c r="U110" s="24">
        <f>H110-P110</f>
        <v/>
      </c>
      <c r="V110" s="25" t="n">
        <v>0</v>
      </c>
      <c r="W110" s="25" t="n">
        <v>0</v>
      </c>
      <c r="X110" s="26">
        <f>U110*I110</f>
        <v/>
      </c>
      <c r="Y110" s="26">
        <f>X110*1.0</f>
        <v/>
      </c>
      <c r="Z110" s="25" t="n">
        <v>0</v>
      </c>
      <c r="AA110" s="25" t="n">
        <v>0</v>
      </c>
      <c r="AB110" s="26" t="n">
        <v>0</v>
      </c>
    </row>
    <row r="111">
      <c r="A111" s="22" t="inlineStr">
        <is>
          <t>Each</t>
        </is>
      </c>
      <c r="B111" s="23" t="inlineStr">
        <is>
          <t>Sub Floor Adhesive</t>
        </is>
      </c>
      <c r="C111" s="22" t="inlineStr"/>
      <c r="D111" s="22" t="inlineStr"/>
      <c r="E111" s="22" t="inlineStr"/>
      <c r="F111" s="24" t="n">
        <v>2719</v>
      </c>
      <c r="G111" s="24" t="n">
        <v>0</v>
      </c>
      <c r="H111" s="24">
        <f>F111+G111</f>
        <v/>
      </c>
      <c r="I111" s="25" t="n">
        <v>5.75</v>
      </c>
      <c r="J111" s="25" t="n">
        <v>0</v>
      </c>
      <c r="K111" s="25" t="n">
        <v>0</v>
      </c>
      <c r="L111" s="26">
        <f>H111*I111</f>
        <v/>
      </c>
      <c r="M111" s="26">
        <f>L111*1.0</f>
        <v/>
      </c>
      <c r="N111" s="24" t="n">
        <v>0</v>
      </c>
      <c r="O111" s="22" t="inlineStr"/>
      <c r="P111" s="24">
        <f>SUM(N111:N111)</f>
        <v/>
      </c>
      <c r="Q111" s="25" t="n">
        <v>0</v>
      </c>
      <c r="R111" s="25" t="n">
        <v>0</v>
      </c>
      <c r="S111" s="26">
        <f>P111*I111</f>
        <v/>
      </c>
      <c r="T111" s="26">
        <f>S111*1.0</f>
        <v/>
      </c>
      <c r="U111" s="24">
        <f>H111-P111</f>
        <v/>
      </c>
      <c r="V111" s="25" t="n">
        <v>0</v>
      </c>
      <c r="W111" s="25" t="n">
        <v>0</v>
      </c>
      <c r="X111" s="26">
        <f>U111*I111</f>
        <v/>
      </c>
      <c r="Y111" s="26">
        <f>X111*1.0</f>
        <v/>
      </c>
      <c r="Z111" s="25" t="n">
        <v>0</v>
      </c>
      <c r="AA111" s="25" t="n">
        <v>0</v>
      </c>
      <c r="AB111" s="26" t="n">
        <v>0</v>
      </c>
    </row>
    <row r="112">
      <c r="A112" s="22" t="inlineStr">
        <is>
          <t>Each</t>
        </is>
      </c>
      <c r="B112" s="23" t="inlineStr">
        <is>
          <t>Steel C Channels</t>
        </is>
      </c>
      <c r="C112" s="22" t="inlineStr"/>
      <c r="D112" s="22" t="inlineStr"/>
      <c r="E112" s="22" t="inlineStr"/>
      <c r="F112" s="24" t="n">
        <v>93</v>
      </c>
      <c r="G112" s="24" t="n">
        <v>0</v>
      </c>
      <c r="H112" s="24">
        <f>F112+G112</f>
        <v/>
      </c>
      <c r="I112" s="25" t="n">
        <v>13</v>
      </c>
      <c r="J112" s="25" t="n">
        <v>0</v>
      </c>
      <c r="K112" s="25" t="n">
        <v>0</v>
      </c>
      <c r="L112" s="26">
        <f>H112*I112</f>
        <v/>
      </c>
      <c r="M112" s="26">
        <f>L112*1.0</f>
        <v/>
      </c>
      <c r="N112" s="24" t="n">
        <v>0</v>
      </c>
      <c r="O112" s="22" t="inlineStr"/>
      <c r="P112" s="24">
        <f>SUM(N112:N112)</f>
        <v/>
      </c>
      <c r="Q112" s="25" t="n">
        <v>0</v>
      </c>
      <c r="R112" s="25" t="n">
        <v>0</v>
      </c>
      <c r="S112" s="26">
        <f>P112*I112</f>
        <v/>
      </c>
      <c r="T112" s="26">
        <f>S112*1.0</f>
        <v/>
      </c>
      <c r="U112" s="24">
        <f>H112-P112</f>
        <v/>
      </c>
      <c r="V112" s="25" t="n">
        <v>0</v>
      </c>
      <c r="W112" s="25" t="n">
        <v>0</v>
      </c>
      <c r="X112" s="26">
        <f>U112*I112</f>
        <v/>
      </c>
      <c r="Y112" s="26">
        <f>X112*1.0</f>
        <v/>
      </c>
      <c r="Z112" s="25" t="n">
        <v>0</v>
      </c>
      <c r="AA112" s="25" t="n">
        <v>0</v>
      </c>
      <c r="AB112" s="26" t="n">
        <v>0</v>
      </c>
    </row>
    <row r="113">
      <c r="A113" s="22" t="inlineStr">
        <is>
          <t>Each</t>
        </is>
      </c>
      <c r="B113" s="23" t="inlineStr">
        <is>
          <t>Steel H Studs</t>
        </is>
      </c>
      <c r="C113" s="22" t="inlineStr"/>
      <c r="D113" s="22" t="inlineStr"/>
      <c r="E113" s="22" t="inlineStr"/>
      <c r="F113" s="24" t="n">
        <v>186</v>
      </c>
      <c r="G113" s="24" t="n">
        <v>0</v>
      </c>
      <c r="H113" s="24">
        <f>F113+G113</f>
        <v/>
      </c>
      <c r="I113" s="25" t="n">
        <v>15.1</v>
      </c>
      <c r="J113" s="25" t="n">
        <v>0</v>
      </c>
      <c r="K113" s="25" t="n">
        <v>0</v>
      </c>
      <c r="L113" s="26">
        <f>H113*I113</f>
        <v/>
      </c>
      <c r="M113" s="26">
        <f>L113*1.0</f>
        <v/>
      </c>
      <c r="N113" s="24" t="n">
        <v>0</v>
      </c>
      <c r="O113" s="22" t="inlineStr"/>
      <c r="P113" s="24">
        <f>SUM(N113:N113)</f>
        <v/>
      </c>
      <c r="Q113" s="25" t="n">
        <v>0</v>
      </c>
      <c r="R113" s="25" t="n">
        <v>0</v>
      </c>
      <c r="S113" s="26">
        <f>P113*I113</f>
        <v/>
      </c>
      <c r="T113" s="26">
        <f>S113*1.0</f>
        <v/>
      </c>
      <c r="U113" s="24">
        <f>H113-P113</f>
        <v/>
      </c>
      <c r="V113" s="25" t="n">
        <v>0</v>
      </c>
      <c r="W113" s="25" t="n">
        <v>0</v>
      </c>
      <c r="X113" s="26">
        <f>U113*I113</f>
        <v/>
      </c>
      <c r="Y113" s="26">
        <f>X113*1.0</f>
        <v/>
      </c>
      <c r="Z113" s="25" t="n">
        <v>0</v>
      </c>
      <c r="AA113" s="25" t="n">
        <v>0</v>
      </c>
      <c r="AB113" s="26" t="n">
        <v>0</v>
      </c>
    </row>
    <row r="114">
      <c r="A114" s="22" t="inlineStr">
        <is>
          <t>Each</t>
        </is>
      </c>
      <c r="B114" s="23" t="inlineStr">
        <is>
          <t>Alum Clips</t>
        </is>
      </c>
      <c r="C114" s="22" t="inlineStr"/>
      <c r="D114" s="22" t="inlineStr"/>
      <c r="E114" s="22" t="inlineStr"/>
      <c r="F114" s="24" t="n">
        <v>557</v>
      </c>
      <c r="G114" s="24" t="n">
        <v>0</v>
      </c>
      <c r="H114" s="24">
        <f>F114+G114</f>
        <v/>
      </c>
      <c r="I114" s="25" t="n">
        <v>0.95</v>
      </c>
      <c r="J114" s="25" t="n">
        <v>0</v>
      </c>
      <c r="K114" s="25" t="n">
        <v>0</v>
      </c>
      <c r="L114" s="26">
        <f>H114*I114</f>
        <v/>
      </c>
      <c r="M114" s="26">
        <f>L114*1.0</f>
        <v/>
      </c>
      <c r="N114" s="24" t="n">
        <v>0</v>
      </c>
      <c r="O114" s="22" t="inlineStr"/>
      <c r="P114" s="24">
        <f>SUM(N114:N114)</f>
        <v/>
      </c>
      <c r="Q114" s="25" t="n">
        <v>0</v>
      </c>
      <c r="R114" s="25" t="n">
        <v>0</v>
      </c>
      <c r="S114" s="26">
        <f>P114*I114</f>
        <v/>
      </c>
      <c r="T114" s="26">
        <f>S114*1.0</f>
        <v/>
      </c>
      <c r="U114" s="24">
        <f>H114-P114</f>
        <v/>
      </c>
      <c r="V114" s="25" t="n">
        <v>0</v>
      </c>
      <c r="W114" s="25" t="n">
        <v>0</v>
      </c>
      <c r="X114" s="26">
        <f>U114*I114</f>
        <v/>
      </c>
      <c r="Y114" s="26">
        <f>X114*1.0</f>
        <v/>
      </c>
      <c r="Z114" s="25" t="n">
        <v>0</v>
      </c>
      <c r="AA114" s="25" t="n">
        <v>0</v>
      </c>
      <c r="AB114" s="26" t="n">
        <v>0</v>
      </c>
    </row>
    <row r="115">
      <c r="A115" s="22" t="inlineStr">
        <is>
          <t>Each</t>
        </is>
      </c>
      <c r="B115" s="23" t="inlineStr">
        <is>
          <t>Red Safety Rails</t>
        </is>
      </c>
      <c r="C115" s="22" t="inlineStr"/>
      <c r="D115" s="22" t="inlineStr"/>
      <c r="E115" s="22" t="inlineStr"/>
      <c r="F115" s="24" t="n">
        <v>1041</v>
      </c>
      <c r="G115" s="24" t="n">
        <v>0</v>
      </c>
      <c r="H115" s="24">
        <f>F115+G115</f>
        <v/>
      </c>
      <c r="I115" s="25" t="n">
        <v>0</v>
      </c>
      <c r="J115" s="25" t="n">
        <v>0</v>
      </c>
      <c r="K115" s="25" t="n">
        <v>0</v>
      </c>
      <c r="L115" s="26">
        <f>H115*I115</f>
        <v/>
      </c>
      <c r="M115" s="26">
        <f>L115*1.0</f>
        <v/>
      </c>
      <c r="N115" s="24" t="n">
        <v>0</v>
      </c>
      <c r="O115" s="22" t="inlineStr"/>
      <c r="P115" s="24">
        <f>SUM(N115:N115)</f>
        <v/>
      </c>
      <c r="Q115" s="25" t="n">
        <v>0</v>
      </c>
      <c r="R115" s="25" t="n">
        <v>0</v>
      </c>
      <c r="S115" s="26">
        <f>P115*I115</f>
        <v/>
      </c>
      <c r="T115" s="26">
        <f>S115*1.0</f>
        <v/>
      </c>
      <c r="U115" s="24">
        <f>H115-P115</f>
        <v/>
      </c>
      <c r="V115" s="25" t="n">
        <v>0</v>
      </c>
      <c r="W115" s="25" t="n">
        <v>0</v>
      </c>
      <c r="X115" s="26">
        <f>U115*I115</f>
        <v/>
      </c>
      <c r="Y115" s="26">
        <f>X115*1.0</f>
        <v/>
      </c>
      <c r="Z115" s="25" t="n">
        <v>0</v>
      </c>
      <c r="AA115" s="25" t="n">
        <v>0</v>
      </c>
      <c r="AB115" s="26" t="n">
        <v>0</v>
      </c>
    </row>
    <row r="116" ht="18" customHeight="1">
      <c r="A116" s="27" t="inlineStr">
        <is>
          <t>EACH SUBTOTAL</t>
        </is>
      </c>
      <c r="B116" s="28" t="inlineStr"/>
      <c r="C116" s="28" t="inlineStr"/>
      <c r="D116" s="28" t="inlineStr"/>
      <c r="E116" s="28" t="inlineStr"/>
      <c r="F116" s="29">
        <f>SUM(F108:F115)</f>
        <v/>
      </c>
      <c r="G116" s="29">
        <f>SUM(G108:G115)</f>
        <v/>
      </c>
      <c r="H116" s="29">
        <f>SUM(H108:H115)</f>
        <v/>
      </c>
      <c r="I116" s="28" t="inlineStr"/>
      <c r="J116" s="30">
        <f>SUM(J108:J115)</f>
        <v/>
      </c>
      <c r="K116" s="30">
        <f>SUM(K108:K115)</f>
        <v/>
      </c>
      <c r="L116" s="31">
        <f>SUM(L108:L115)</f>
        <v/>
      </c>
      <c r="M116" s="31">
        <f>SUM(M108:M115)</f>
        <v/>
      </c>
      <c r="N116" s="28">
        <f>SUM(N108:N115)</f>
        <v/>
      </c>
      <c r="O116" s="28" t="inlineStr"/>
      <c r="P116" s="29">
        <f>SUM(P108:P115)</f>
        <v/>
      </c>
      <c r="Q116" s="30">
        <f>SUM(Q108:Q115)</f>
        <v/>
      </c>
      <c r="R116" s="30">
        <f>SUM(R108:R115)</f>
        <v/>
      </c>
      <c r="S116" s="31">
        <f>SUM(S108:S115)</f>
        <v/>
      </c>
      <c r="T116" s="31">
        <f>SUM(T108:T115)</f>
        <v/>
      </c>
      <c r="U116" s="29">
        <f>SUM(U108:U115)</f>
        <v/>
      </c>
      <c r="V116" s="30">
        <f>SUM(V108:V115)</f>
        <v/>
      </c>
      <c r="W116" s="30">
        <f>SUM(W108:W115)</f>
        <v/>
      </c>
      <c r="X116" s="31">
        <f>SUM(X108:X115)</f>
        <v/>
      </c>
      <c r="Y116" s="31">
        <f>SUM(Y108:Y115)</f>
        <v/>
      </c>
      <c r="Z116" s="30">
        <f>SUM(Z108:Z115)</f>
        <v/>
      </c>
      <c r="AA116" s="30">
        <f>SUM(AA108:AA115)</f>
        <v/>
      </c>
      <c r="AB116" s="31">
        <f>SUM(AB108:AB115)</f>
        <v/>
      </c>
    </row>
    <row r="117" ht="5" customHeight="1"/>
    <row r="118">
      <c r="A118" s="32" t="inlineStr">
        <is>
          <t>Panels</t>
        </is>
      </c>
      <c r="B118" s="33" t="inlineStr">
        <is>
          <t>15/32" APA Rated</t>
        </is>
      </c>
      <c r="C118" s="32" t="n">
        <v>4</v>
      </c>
      <c r="D118" s="32" t="n">
        <v>8</v>
      </c>
      <c r="E118" s="32" t="inlineStr"/>
      <c r="F118" s="34" t="n">
        <v>5197</v>
      </c>
      <c r="G118" s="34" t="n">
        <v>0</v>
      </c>
      <c r="H118" s="34">
        <f>F118+G118</f>
        <v/>
      </c>
      <c r="I118" s="35" t="n">
        <v>499</v>
      </c>
      <c r="J118" s="35" t="n">
        <v>0</v>
      </c>
      <c r="K118" s="35">
        <f>H118*4.0*8.0</f>
        <v/>
      </c>
      <c r="L118" s="36">
        <f>(K118*I118)/1000</f>
        <v/>
      </c>
      <c r="M118" s="36">
        <f>L118*1.0</f>
        <v/>
      </c>
      <c r="N118" s="34" t="n">
        <v>500</v>
      </c>
      <c r="O118" s="32" t="inlineStr">
        <is>
          <t>60126015</t>
        </is>
      </c>
      <c r="P118" s="34">
        <f>SUM(N118:N118)</f>
        <v/>
      </c>
      <c r="Q118" s="35" t="n">
        <v>0</v>
      </c>
      <c r="R118" s="35">
        <f>P118*4.0*8.0</f>
        <v/>
      </c>
      <c r="S118" s="36">
        <f>(R118*I118)/1000</f>
        <v/>
      </c>
      <c r="T118" s="36">
        <f>S118*1.0</f>
        <v/>
      </c>
      <c r="U118" s="34">
        <f>H118-P118</f>
        <v/>
      </c>
      <c r="V118" s="35" t="n">
        <v>0</v>
      </c>
      <c r="W118" s="35">
        <f>U118*4.0*8.0</f>
        <v/>
      </c>
      <c r="X118" s="36">
        <f>(W118*I118)/1000</f>
        <v/>
      </c>
      <c r="Y118" s="36">
        <f>X118*1.0</f>
        <v/>
      </c>
      <c r="Z118" s="35" t="n">
        <v>0</v>
      </c>
      <c r="AA118" s="35" t="n">
        <v>0</v>
      </c>
      <c r="AB118" s="36" t="n">
        <v>0</v>
      </c>
    </row>
    <row r="119">
      <c r="A119" s="32" t="inlineStr">
        <is>
          <t>Panels</t>
        </is>
      </c>
      <c r="B119" s="33" t="inlineStr">
        <is>
          <t>15/32 PT CDX</t>
        </is>
      </c>
      <c r="C119" s="32" t="n">
        <v>4</v>
      </c>
      <c r="D119" s="32" t="n">
        <v>8</v>
      </c>
      <c r="E119" s="32" t="inlineStr"/>
      <c r="F119" s="34" t="n">
        <v>974</v>
      </c>
      <c r="G119" s="34" t="n">
        <v>0</v>
      </c>
      <c r="H119" s="34">
        <f>F119+G119</f>
        <v/>
      </c>
      <c r="I119" s="35" t="n">
        <v>1315</v>
      </c>
      <c r="J119" s="35" t="n">
        <v>0</v>
      </c>
      <c r="K119" s="35">
        <f>H119*4.0*8.0</f>
        <v/>
      </c>
      <c r="L119" s="36">
        <f>(K119*I119)/1000</f>
        <v/>
      </c>
      <c r="M119" s="36">
        <f>L119*1.0</f>
        <v/>
      </c>
      <c r="N119" s="34" t="n">
        <v>0</v>
      </c>
      <c r="O119" s="32" t="inlineStr"/>
      <c r="P119" s="34">
        <f>SUM(N119:N119)</f>
        <v/>
      </c>
      <c r="Q119" s="35" t="n">
        <v>0</v>
      </c>
      <c r="R119" s="35">
        <f>P119*4.0*8.0</f>
        <v/>
      </c>
      <c r="S119" s="36">
        <f>(R119*I119)/1000</f>
        <v/>
      </c>
      <c r="T119" s="36">
        <f>S119*1.0</f>
        <v/>
      </c>
      <c r="U119" s="34">
        <f>H119-P119</f>
        <v/>
      </c>
      <c r="V119" s="35" t="n">
        <v>0</v>
      </c>
      <c r="W119" s="35">
        <f>U119*4.0*8.0</f>
        <v/>
      </c>
      <c r="X119" s="36">
        <f>(W119*I119)/1000</f>
        <v/>
      </c>
      <c r="Y119" s="36">
        <f>X119*1.0</f>
        <v/>
      </c>
      <c r="Z119" s="35" t="n">
        <v>0</v>
      </c>
      <c r="AA119" s="35" t="n">
        <v>0</v>
      </c>
      <c r="AB119" s="36" t="n">
        <v>0</v>
      </c>
    </row>
    <row r="120">
      <c r="A120" s="32" t="inlineStr">
        <is>
          <t>Panels</t>
        </is>
      </c>
      <c r="B120" s="33" t="inlineStr">
        <is>
          <t>15/32 OSB/PLY</t>
        </is>
      </c>
      <c r="C120" s="32" t="n">
        <v>4</v>
      </c>
      <c r="D120" s="32" t="n">
        <v>8</v>
      </c>
      <c r="E120" s="32" t="inlineStr"/>
      <c r="F120" s="34" t="n">
        <v>2</v>
      </c>
      <c r="G120" s="34" t="n">
        <v>0</v>
      </c>
      <c r="H120" s="34">
        <f>F120+G120</f>
        <v/>
      </c>
      <c r="I120" s="35" t="n">
        <v>499</v>
      </c>
      <c r="J120" s="35" t="n">
        <v>0</v>
      </c>
      <c r="K120" s="35">
        <f>H120*4.0*8.0</f>
        <v/>
      </c>
      <c r="L120" s="36">
        <f>(K120*I120)/1000</f>
        <v/>
      </c>
      <c r="M120" s="36">
        <f>L120*1.0</f>
        <v/>
      </c>
      <c r="N120" s="34" t="n">
        <v>0</v>
      </c>
      <c r="O120" s="32" t="inlineStr"/>
      <c r="P120" s="34">
        <f>SUM(N120:N120)</f>
        <v/>
      </c>
      <c r="Q120" s="35" t="n">
        <v>0</v>
      </c>
      <c r="R120" s="35">
        <f>P120*4.0*8.0</f>
        <v/>
      </c>
      <c r="S120" s="36">
        <f>(R120*I120)/1000</f>
        <v/>
      </c>
      <c r="T120" s="36">
        <f>S120*1.0</f>
        <v/>
      </c>
      <c r="U120" s="34">
        <f>H120-P120</f>
        <v/>
      </c>
      <c r="V120" s="35" t="n">
        <v>0</v>
      </c>
      <c r="W120" s="35">
        <f>U120*4.0*8.0</f>
        <v/>
      </c>
      <c r="X120" s="36">
        <f>(W120*I120)/1000</f>
        <v/>
      </c>
      <c r="Y120" s="36">
        <f>X120*1.0</f>
        <v/>
      </c>
      <c r="Z120" s="35" t="n">
        <v>0</v>
      </c>
      <c r="AA120" s="35" t="n">
        <v>0</v>
      </c>
      <c r="AB120" s="36" t="n">
        <v>0</v>
      </c>
    </row>
    <row r="121">
      <c r="A121" s="32" t="inlineStr">
        <is>
          <t>Panels</t>
        </is>
      </c>
      <c r="B121" s="33" t="inlineStr">
        <is>
          <t>15/32 OSB/PLY</t>
        </is>
      </c>
      <c r="C121" s="32" t="n">
        <v>4</v>
      </c>
      <c r="D121" s="32" t="n">
        <v>8</v>
      </c>
      <c r="E121" s="32" t="inlineStr"/>
      <c r="F121" s="34" t="n">
        <v>409</v>
      </c>
      <c r="G121" s="34" t="n">
        <v>0</v>
      </c>
      <c r="H121" s="34">
        <f>F121+G121</f>
        <v/>
      </c>
      <c r="I121" s="35" t="n">
        <v>499</v>
      </c>
      <c r="J121" s="35" t="n">
        <v>0</v>
      </c>
      <c r="K121" s="35">
        <f>H121*4.0*8.0</f>
        <v/>
      </c>
      <c r="L121" s="36">
        <f>(K121*I121)/1000</f>
        <v/>
      </c>
      <c r="M121" s="36">
        <f>L121*1.0</f>
        <v/>
      </c>
      <c r="N121" s="34" t="n">
        <v>0</v>
      </c>
      <c r="O121" s="32" t="inlineStr"/>
      <c r="P121" s="34">
        <f>SUM(N121:N121)</f>
        <v/>
      </c>
      <c r="Q121" s="35" t="n">
        <v>0</v>
      </c>
      <c r="R121" s="35">
        <f>P121*4.0*8.0</f>
        <v/>
      </c>
      <c r="S121" s="36">
        <f>(R121*I121)/1000</f>
        <v/>
      </c>
      <c r="T121" s="36">
        <f>S121*1.0</f>
        <v/>
      </c>
      <c r="U121" s="34">
        <f>H121-P121</f>
        <v/>
      </c>
      <c r="V121" s="35" t="n">
        <v>0</v>
      </c>
      <c r="W121" s="35">
        <f>U121*4.0*8.0</f>
        <v/>
      </c>
      <c r="X121" s="36">
        <f>(W121*I121)/1000</f>
        <v/>
      </c>
      <c r="Y121" s="36">
        <f>X121*1.0</f>
        <v/>
      </c>
      <c r="Z121" s="35" t="n">
        <v>0</v>
      </c>
      <c r="AA121" s="35" t="n">
        <v>0</v>
      </c>
      <c r="AB121" s="36" t="n">
        <v>0</v>
      </c>
    </row>
    <row r="122">
      <c r="A122" s="32" t="inlineStr">
        <is>
          <t>Panels</t>
        </is>
      </c>
      <c r="B122" s="33" t="inlineStr">
        <is>
          <t>15/32 OSB/PLY</t>
        </is>
      </c>
      <c r="C122" s="32" t="n">
        <v>4</v>
      </c>
      <c r="D122" s="32" t="n">
        <v>8</v>
      </c>
      <c r="E122" s="32" t="inlineStr"/>
      <c r="F122" s="34" t="n">
        <v>55</v>
      </c>
      <c r="G122" s="34" t="n">
        <v>0</v>
      </c>
      <c r="H122" s="34">
        <f>F122+G122</f>
        <v/>
      </c>
      <c r="I122" s="35" t="n">
        <v>499</v>
      </c>
      <c r="J122" s="35" t="n">
        <v>0</v>
      </c>
      <c r="K122" s="35">
        <f>H122*4.0*8.0</f>
        <v/>
      </c>
      <c r="L122" s="36">
        <f>(K122*I122)/1000</f>
        <v/>
      </c>
      <c r="M122" s="36">
        <f>L122*1.0</f>
        <v/>
      </c>
      <c r="N122" s="34" t="n">
        <v>0</v>
      </c>
      <c r="O122" s="32" t="inlineStr"/>
      <c r="P122" s="34">
        <f>SUM(N122:N122)</f>
        <v/>
      </c>
      <c r="Q122" s="35" t="n">
        <v>0</v>
      </c>
      <c r="R122" s="35">
        <f>P122*4.0*8.0</f>
        <v/>
      </c>
      <c r="S122" s="36">
        <f>(R122*I122)/1000</f>
        <v/>
      </c>
      <c r="T122" s="36">
        <f>S122*1.0</f>
        <v/>
      </c>
      <c r="U122" s="34">
        <f>H122-P122</f>
        <v/>
      </c>
      <c r="V122" s="35" t="n">
        <v>0</v>
      </c>
      <c r="W122" s="35">
        <f>U122*4.0*8.0</f>
        <v/>
      </c>
      <c r="X122" s="36">
        <f>(W122*I122)/1000</f>
        <v/>
      </c>
      <c r="Y122" s="36">
        <f>X122*1.0</f>
        <v/>
      </c>
      <c r="Z122" s="35" t="n">
        <v>0</v>
      </c>
      <c r="AA122" s="35" t="n">
        <v>0</v>
      </c>
      <c r="AB122" s="36" t="n">
        <v>0</v>
      </c>
    </row>
    <row r="123">
      <c r="A123" s="32" t="inlineStr">
        <is>
          <t>Panels</t>
        </is>
      </c>
      <c r="B123" s="33" t="inlineStr">
        <is>
          <t>15/32 OSB/PLY</t>
        </is>
      </c>
      <c r="C123" s="32" t="n">
        <v>4</v>
      </c>
      <c r="D123" s="32" t="n">
        <v>8</v>
      </c>
      <c r="E123" s="32" t="inlineStr"/>
      <c r="F123" s="34" t="n">
        <v>430</v>
      </c>
      <c r="G123" s="34" t="n">
        <v>0</v>
      </c>
      <c r="H123" s="34">
        <f>F123+G123</f>
        <v/>
      </c>
      <c r="I123" s="35" t="n">
        <v>499</v>
      </c>
      <c r="J123" s="35" t="n">
        <v>0</v>
      </c>
      <c r="K123" s="35">
        <f>H123*4.0*8.0</f>
        <v/>
      </c>
      <c r="L123" s="36">
        <f>(K123*I123)/1000</f>
        <v/>
      </c>
      <c r="M123" s="36">
        <f>L123*1.0</f>
        <v/>
      </c>
      <c r="N123" s="34" t="n">
        <v>0</v>
      </c>
      <c r="O123" s="32" t="inlineStr"/>
      <c r="P123" s="34">
        <f>SUM(N123:N123)</f>
        <v/>
      </c>
      <c r="Q123" s="35" t="n">
        <v>0</v>
      </c>
      <c r="R123" s="35">
        <f>P123*4.0*8.0</f>
        <v/>
      </c>
      <c r="S123" s="36">
        <f>(R123*I123)/1000</f>
        <v/>
      </c>
      <c r="T123" s="36">
        <f>S123*1.0</f>
        <v/>
      </c>
      <c r="U123" s="34">
        <f>H123-P123</f>
        <v/>
      </c>
      <c r="V123" s="35" t="n">
        <v>0</v>
      </c>
      <c r="W123" s="35">
        <f>U123*4.0*8.0</f>
        <v/>
      </c>
      <c r="X123" s="36">
        <f>(W123*I123)/1000</f>
        <v/>
      </c>
      <c r="Y123" s="36">
        <f>X123*1.0</f>
        <v/>
      </c>
      <c r="Z123" s="35" t="n">
        <v>0</v>
      </c>
      <c r="AA123" s="35" t="n">
        <v>0</v>
      </c>
      <c r="AB123" s="36" t="n">
        <v>0</v>
      </c>
    </row>
    <row r="124">
      <c r="A124" s="32" t="inlineStr">
        <is>
          <t>Panels</t>
        </is>
      </c>
      <c r="B124" s="33" t="inlineStr">
        <is>
          <t>7/16" OSB</t>
        </is>
      </c>
      <c r="C124" s="32" t="n">
        <v>4</v>
      </c>
      <c r="D124" s="32" t="n">
        <v>8</v>
      </c>
      <c r="E124" s="32" t="inlineStr"/>
      <c r="F124" s="34" t="n">
        <v>75</v>
      </c>
      <c r="G124" s="34" t="n">
        <v>0</v>
      </c>
      <c r="H124" s="34">
        <f>F124+G124</f>
        <v/>
      </c>
      <c r="I124" s="35" t="n">
        <v>479</v>
      </c>
      <c r="J124" s="35" t="n">
        <v>0</v>
      </c>
      <c r="K124" s="35">
        <f>H124*4.0*8.0</f>
        <v/>
      </c>
      <c r="L124" s="36">
        <f>(K124*I124)/1000</f>
        <v/>
      </c>
      <c r="M124" s="36">
        <f>L124*1.0</f>
        <v/>
      </c>
      <c r="N124" s="34" t="n">
        <v>0</v>
      </c>
      <c r="O124" s="32" t="inlineStr"/>
      <c r="P124" s="34">
        <f>SUM(N124:N124)</f>
        <v/>
      </c>
      <c r="Q124" s="35" t="n">
        <v>0</v>
      </c>
      <c r="R124" s="35">
        <f>P124*4.0*8.0</f>
        <v/>
      </c>
      <c r="S124" s="36">
        <f>(R124*I124)/1000</f>
        <v/>
      </c>
      <c r="T124" s="36">
        <f>S124*1.0</f>
        <v/>
      </c>
      <c r="U124" s="34">
        <f>H124-P124</f>
        <v/>
      </c>
      <c r="V124" s="35" t="n">
        <v>0</v>
      </c>
      <c r="W124" s="35">
        <f>U124*4.0*8.0</f>
        <v/>
      </c>
      <c r="X124" s="36">
        <f>(W124*I124)/1000</f>
        <v/>
      </c>
      <c r="Y124" s="36">
        <f>X124*1.0</f>
        <v/>
      </c>
      <c r="Z124" s="35" t="n">
        <v>0</v>
      </c>
      <c r="AA124" s="35" t="n">
        <v>0</v>
      </c>
      <c r="AB124" s="36" t="n">
        <v>0</v>
      </c>
    </row>
    <row r="125">
      <c r="A125" s="32" t="inlineStr">
        <is>
          <t>Panels</t>
        </is>
      </c>
      <c r="B125" s="33" t="inlineStr">
        <is>
          <t>7/16" OSB</t>
        </is>
      </c>
      <c r="C125" s="32" t="n">
        <v>4</v>
      </c>
      <c r="D125" s="32" t="n">
        <v>8</v>
      </c>
      <c r="E125" s="32" t="inlineStr"/>
      <c r="F125" s="34" t="n">
        <v>10638</v>
      </c>
      <c r="G125" s="34" t="n">
        <v>0</v>
      </c>
      <c r="H125" s="34">
        <f>F125+G125</f>
        <v/>
      </c>
      <c r="I125" s="35" t="n">
        <v>479</v>
      </c>
      <c r="J125" s="35" t="n">
        <v>0</v>
      </c>
      <c r="K125" s="35">
        <f>H125*4.0*8.0</f>
        <v/>
      </c>
      <c r="L125" s="36">
        <f>(K125*I125)/1000</f>
        <v/>
      </c>
      <c r="M125" s="36">
        <f>L125*1.0</f>
        <v/>
      </c>
      <c r="N125" s="34" t="n">
        <v>0</v>
      </c>
      <c r="O125" s="32" t="inlineStr"/>
      <c r="P125" s="34">
        <f>SUM(N125:N125)</f>
        <v/>
      </c>
      <c r="Q125" s="35" t="n">
        <v>0</v>
      </c>
      <c r="R125" s="35">
        <f>P125*4.0*8.0</f>
        <v/>
      </c>
      <c r="S125" s="36">
        <f>(R125*I125)/1000</f>
        <v/>
      </c>
      <c r="T125" s="36">
        <f>S125*1.0</f>
        <v/>
      </c>
      <c r="U125" s="34">
        <f>H125-P125</f>
        <v/>
      </c>
      <c r="V125" s="35" t="n">
        <v>0</v>
      </c>
      <c r="W125" s="35">
        <f>U125*4.0*8.0</f>
        <v/>
      </c>
      <c r="X125" s="36">
        <f>(W125*I125)/1000</f>
        <v/>
      </c>
      <c r="Y125" s="36">
        <f>X125*1.0</f>
        <v/>
      </c>
      <c r="Z125" s="35" t="n">
        <v>0</v>
      </c>
      <c r="AA125" s="35" t="n">
        <v>0</v>
      </c>
      <c r="AB125" s="36" t="n">
        <v>0</v>
      </c>
    </row>
    <row r="126">
      <c r="A126" s="32" t="inlineStr">
        <is>
          <t>Panels</t>
        </is>
      </c>
      <c r="B126" s="33" t="inlineStr">
        <is>
          <t>7/16" OSB</t>
        </is>
      </c>
      <c r="C126" s="32" t="n">
        <v>4</v>
      </c>
      <c r="D126" s="32" t="n">
        <v>8</v>
      </c>
      <c r="E126" s="32" t="inlineStr"/>
      <c r="F126" s="34" t="n">
        <v>66</v>
      </c>
      <c r="G126" s="34" t="n">
        <v>0</v>
      </c>
      <c r="H126" s="34">
        <f>F126+G126</f>
        <v/>
      </c>
      <c r="I126" s="35" t="n">
        <v>479</v>
      </c>
      <c r="J126" s="35" t="n">
        <v>0</v>
      </c>
      <c r="K126" s="35">
        <f>H126*4.0*8.0</f>
        <v/>
      </c>
      <c r="L126" s="36">
        <f>(K126*I126)/1000</f>
        <v/>
      </c>
      <c r="M126" s="36">
        <f>L126*1.0</f>
        <v/>
      </c>
      <c r="N126" s="34" t="n">
        <v>0</v>
      </c>
      <c r="O126" s="32" t="inlineStr"/>
      <c r="P126" s="34">
        <f>SUM(N126:N126)</f>
        <v/>
      </c>
      <c r="Q126" s="35" t="n">
        <v>0</v>
      </c>
      <c r="R126" s="35">
        <f>P126*4.0*8.0</f>
        <v/>
      </c>
      <c r="S126" s="36">
        <f>(R126*I126)/1000</f>
        <v/>
      </c>
      <c r="T126" s="36">
        <f>S126*1.0</f>
        <v/>
      </c>
      <c r="U126" s="34">
        <f>H126-P126</f>
        <v/>
      </c>
      <c r="V126" s="35" t="n">
        <v>0</v>
      </c>
      <c r="W126" s="35">
        <f>U126*4.0*8.0</f>
        <v/>
      </c>
      <c r="X126" s="36">
        <f>(W126*I126)/1000</f>
        <v/>
      </c>
      <c r="Y126" s="36">
        <f>X126*1.0</f>
        <v/>
      </c>
      <c r="Z126" s="35" t="n">
        <v>0</v>
      </c>
      <c r="AA126" s="35" t="n">
        <v>0</v>
      </c>
      <c r="AB126" s="36" t="n">
        <v>0</v>
      </c>
    </row>
    <row r="127">
      <c r="A127" s="32" t="inlineStr">
        <is>
          <t>Panels</t>
        </is>
      </c>
      <c r="B127" s="33" t="inlineStr">
        <is>
          <t>3/4" Ply</t>
        </is>
      </c>
      <c r="C127" s="32" t="n">
        <v>4</v>
      </c>
      <c r="D127" s="32" t="n">
        <v>8</v>
      </c>
      <c r="E127" s="32" t="inlineStr"/>
      <c r="F127" s="34" t="n">
        <v>7781</v>
      </c>
      <c r="G127" s="34" t="n">
        <v>0</v>
      </c>
      <c r="H127" s="34">
        <f>F127+G127</f>
        <v/>
      </c>
      <c r="I127" s="35" t="n">
        <v>719</v>
      </c>
      <c r="J127" s="35" t="n">
        <v>0</v>
      </c>
      <c r="K127" s="35">
        <f>H127*4.0*8.0</f>
        <v/>
      </c>
      <c r="L127" s="36">
        <f>(K127*I127)/1000</f>
        <v/>
      </c>
      <c r="M127" s="36">
        <f>L127*1.0</f>
        <v/>
      </c>
      <c r="N127" s="34" t="n">
        <v>0</v>
      </c>
      <c r="O127" s="32" t="inlineStr"/>
      <c r="P127" s="34">
        <f>SUM(N127:N127)</f>
        <v/>
      </c>
      <c r="Q127" s="35" t="n">
        <v>0</v>
      </c>
      <c r="R127" s="35">
        <f>P127*4.0*8.0</f>
        <v/>
      </c>
      <c r="S127" s="36">
        <f>(R127*I127)/1000</f>
        <v/>
      </c>
      <c r="T127" s="36">
        <f>S127*1.0</f>
        <v/>
      </c>
      <c r="U127" s="34">
        <f>H127-P127</f>
        <v/>
      </c>
      <c r="V127" s="35" t="n">
        <v>0</v>
      </c>
      <c r="W127" s="35">
        <f>U127*4.0*8.0</f>
        <v/>
      </c>
      <c r="X127" s="36">
        <f>(W127*I127)/1000</f>
        <v/>
      </c>
      <c r="Y127" s="36">
        <f>X127*1.0</f>
        <v/>
      </c>
      <c r="Z127" s="35" t="n">
        <v>0</v>
      </c>
      <c r="AA127" s="35" t="n">
        <v>0</v>
      </c>
      <c r="AB127" s="36" t="n">
        <v>0</v>
      </c>
    </row>
    <row r="128">
      <c r="A128" s="32" t="inlineStr">
        <is>
          <t>Panels</t>
        </is>
      </c>
      <c r="B128" s="33" t="inlineStr">
        <is>
          <t>3/4" OSB or Ply</t>
        </is>
      </c>
      <c r="C128" s="32" t="n">
        <v>4</v>
      </c>
      <c r="D128" s="32" t="n">
        <v>8</v>
      </c>
      <c r="E128" s="32" t="inlineStr"/>
      <c r="F128" s="34" t="n">
        <v>347</v>
      </c>
      <c r="G128" s="34" t="n">
        <v>0</v>
      </c>
      <c r="H128" s="34">
        <f>F128+G128</f>
        <v/>
      </c>
      <c r="I128" s="35" t="n">
        <v>719</v>
      </c>
      <c r="J128" s="35" t="n">
        <v>0</v>
      </c>
      <c r="K128" s="35">
        <f>H128*4.0*8.0</f>
        <v/>
      </c>
      <c r="L128" s="36">
        <f>(K128*I128)/1000</f>
        <v/>
      </c>
      <c r="M128" s="36">
        <f>L128*1.0</f>
        <v/>
      </c>
      <c r="N128" s="34" t="n">
        <v>0</v>
      </c>
      <c r="O128" s="32" t="inlineStr"/>
      <c r="P128" s="34">
        <f>SUM(N128:N128)</f>
        <v/>
      </c>
      <c r="Q128" s="35" t="n">
        <v>0</v>
      </c>
      <c r="R128" s="35">
        <f>P128*4.0*8.0</f>
        <v/>
      </c>
      <c r="S128" s="36">
        <f>(R128*I128)/1000</f>
        <v/>
      </c>
      <c r="T128" s="36">
        <f>S128*1.0</f>
        <v/>
      </c>
      <c r="U128" s="34">
        <f>H128-P128</f>
        <v/>
      </c>
      <c r="V128" s="35" t="n">
        <v>0</v>
      </c>
      <c r="W128" s="35">
        <f>U128*4.0*8.0</f>
        <v/>
      </c>
      <c r="X128" s="36">
        <f>(W128*I128)/1000</f>
        <v/>
      </c>
      <c r="Y128" s="36">
        <f>X128*1.0</f>
        <v/>
      </c>
      <c r="Z128" s="35" t="n">
        <v>0</v>
      </c>
      <c r="AA128" s="35" t="n">
        <v>0</v>
      </c>
      <c r="AB128" s="36" t="n">
        <v>0</v>
      </c>
    </row>
    <row r="129">
      <c r="A129" s="32" t="inlineStr">
        <is>
          <t>Panels</t>
        </is>
      </c>
      <c r="B129" s="33" t="inlineStr">
        <is>
          <t>3/4" OSB or Ply</t>
        </is>
      </c>
      <c r="C129" s="32" t="n">
        <v>4</v>
      </c>
      <c r="D129" s="32" t="n">
        <v>8</v>
      </c>
      <c r="E129" s="32" t="inlineStr"/>
      <c r="F129" s="34" t="n">
        <v>464</v>
      </c>
      <c r="G129" s="34" t="n">
        <v>0</v>
      </c>
      <c r="H129" s="34">
        <f>F129+G129</f>
        <v/>
      </c>
      <c r="I129" s="35" t="n">
        <v>719</v>
      </c>
      <c r="J129" s="35" t="n">
        <v>0</v>
      </c>
      <c r="K129" s="35">
        <f>H129*4.0*8.0</f>
        <v/>
      </c>
      <c r="L129" s="36">
        <f>(K129*I129)/1000</f>
        <v/>
      </c>
      <c r="M129" s="36">
        <f>L129*1.0</f>
        <v/>
      </c>
      <c r="N129" s="34" t="n">
        <v>0</v>
      </c>
      <c r="O129" s="32" t="inlineStr"/>
      <c r="P129" s="34">
        <f>SUM(N129:N129)</f>
        <v/>
      </c>
      <c r="Q129" s="35" t="n">
        <v>0</v>
      </c>
      <c r="R129" s="35">
        <f>P129*4.0*8.0</f>
        <v/>
      </c>
      <c r="S129" s="36">
        <f>(R129*I129)/1000</f>
        <v/>
      </c>
      <c r="T129" s="36">
        <f>S129*1.0</f>
        <v/>
      </c>
      <c r="U129" s="34">
        <f>H129-P129</f>
        <v/>
      </c>
      <c r="V129" s="35" t="n">
        <v>0</v>
      </c>
      <c r="W129" s="35">
        <f>U129*4.0*8.0</f>
        <v/>
      </c>
      <c r="X129" s="36">
        <f>(W129*I129)/1000</f>
        <v/>
      </c>
      <c r="Y129" s="36">
        <f>X129*1.0</f>
        <v/>
      </c>
      <c r="Z129" s="35" t="n">
        <v>0</v>
      </c>
      <c r="AA129" s="35" t="n">
        <v>0</v>
      </c>
      <c r="AB129" s="36" t="n">
        <v>0</v>
      </c>
    </row>
    <row r="130" ht="18" customHeight="1">
      <c r="A130" s="37" t="inlineStr">
        <is>
          <t>PANELS SUBTOTAL</t>
        </is>
      </c>
      <c r="B130" s="38" t="inlineStr"/>
      <c r="C130" s="38" t="inlineStr"/>
      <c r="D130" s="38" t="inlineStr"/>
      <c r="E130" s="38" t="inlineStr"/>
      <c r="F130" s="39">
        <f>SUM(F118:F129)</f>
        <v/>
      </c>
      <c r="G130" s="39">
        <f>SUM(G118:G129)</f>
        <v/>
      </c>
      <c r="H130" s="39">
        <f>SUM(H118:H129)</f>
        <v/>
      </c>
      <c r="I130" s="38" t="inlineStr"/>
      <c r="J130" s="40">
        <f>SUM(J118:J129)</f>
        <v/>
      </c>
      <c r="K130" s="40">
        <f>SUM(K118:K129)</f>
        <v/>
      </c>
      <c r="L130" s="41">
        <f>SUM(L118:L129)</f>
        <v/>
      </c>
      <c r="M130" s="41">
        <f>SUM(M118:M129)</f>
        <v/>
      </c>
      <c r="N130" s="38">
        <f>SUM(N118:N129)</f>
        <v/>
      </c>
      <c r="O130" s="38" t="inlineStr"/>
      <c r="P130" s="39">
        <f>SUM(P118:P129)</f>
        <v/>
      </c>
      <c r="Q130" s="40">
        <f>SUM(Q118:Q129)</f>
        <v/>
      </c>
      <c r="R130" s="40">
        <f>SUM(R118:R129)</f>
        <v/>
      </c>
      <c r="S130" s="41">
        <f>SUM(S118:S129)</f>
        <v/>
      </c>
      <c r="T130" s="41">
        <f>SUM(T118:T129)</f>
        <v/>
      </c>
      <c r="U130" s="39">
        <f>SUM(U118:U129)</f>
        <v/>
      </c>
      <c r="V130" s="40">
        <f>SUM(V118:V129)</f>
        <v/>
      </c>
      <c r="W130" s="40">
        <f>SUM(W118:W129)</f>
        <v/>
      </c>
      <c r="X130" s="41">
        <f>SUM(X118:X129)</f>
        <v/>
      </c>
      <c r="Y130" s="41">
        <f>SUM(Y118:Y129)</f>
        <v/>
      </c>
      <c r="Z130" s="40">
        <f>SUM(Z118:Z129)</f>
        <v/>
      </c>
      <c r="AA130" s="40">
        <f>SUM(AA118:AA129)</f>
        <v/>
      </c>
      <c r="AB130" s="41">
        <f>SUM(AB118:AB129)</f>
        <v/>
      </c>
    </row>
    <row r="131" ht="5" customHeight="1"/>
    <row r="132" ht="22" customHeight="1">
      <c r="A132" s="42" t="inlineStr">
        <is>
          <t>GRAND TOTAL</t>
        </is>
      </c>
      <c r="B132" s="43" t="inlineStr"/>
      <c r="C132" s="43" t="inlineStr"/>
      <c r="D132" s="43" t="inlineStr"/>
      <c r="E132" s="43" t="inlineStr"/>
      <c r="F132" s="44">
        <f>F67+F106+F116+F130</f>
        <v/>
      </c>
      <c r="G132" s="44">
        <f>G67+G106+G116+G130</f>
        <v/>
      </c>
      <c r="H132" s="44">
        <f>H67+H106+H116+H130</f>
        <v/>
      </c>
      <c r="I132" s="43" t="inlineStr"/>
      <c r="J132" s="45">
        <f>J67+J106+J116+J130</f>
        <v/>
      </c>
      <c r="K132" s="45">
        <f>K67+K106+K116+K130</f>
        <v/>
      </c>
      <c r="L132" s="46">
        <f>L67+L106+L116+L130</f>
        <v/>
      </c>
      <c r="M132" s="46">
        <f>M67+M106+M116+M130</f>
        <v/>
      </c>
      <c r="N132" s="43">
        <f>N67+N106+N116+N130</f>
        <v/>
      </c>
      <c r="O132" s="43" t="inlineStr"/>
      <c r="P132" s="44">
        <f>P67+P106+P116+P130</f>
        <v/>
      </c>
      <c r="Q132" s="45">
        <f>Q67+Q106+Q116+Q130</f>
        <v/>
      </c>
      <c r="R132" s="45">
        <f>R67+R106+R116+R130</f>
        <v/>
      </c>
      <c r="S132" s="46">
        <f>S67+S106+S116+S130</f>
        <v/>
      </c>
      <c r="T132" s="46">
        <f>T67+T106+T116+T130</f>
        <v/>
      </c>
      <c r="U132" s="44">
        <f>U67+U106+U116+U130</f>
        <v/>
      </c>
      <c r="V132" s="45">
        <f>V67+V106+V116+V130</f>
        <v/>
      </c>
      <c r="W132" s="45">
        <f>W67+W106+W116+W130</f>
        <v/>
      </c>
      <c r="X132" s="46">
        <f>X67+X106+X116+X130</f>
        <v/>
      </c>
      <c r="Y132" s="46">
        <f>Y67+Y106+Y116+Y130</f>
        <v/>
      </c>
      <c r="Z132" s="45">
        <f>Z67+Z106+Z116+Z130</f>
        <v/>
      </c>
      <c r="AA132" s="45">
        <f>AA67+AA106+AA116+AA130</f>
        <v/>
      </c>
      <c r="AB132" s="46">
        <f>AB67+AB106+AB116+AB130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34" customWidth="1" min="4" max="4"/>
    <col width="6" customWidth="1" min="5" max="5"/>
    <col width="6" customWidth="1" min="6" max="6"/>
    <col width="6" customWidth="1" min="7" max="7"/>
    <col width="10" customWidth="1" min="8" max="8"/>
    <col width="11" customWidth="1" min="9" max="9"/>
    <col width="12" customWidth="1" min="10" max="10"/>
    <col width="10" customWidth="1" min="11" max="11"/>
    <col width="10" customWidth="1" min="12" max="12"/>
    <col width="14" customWidth="1" min="13" max="13"/>
    <col width="14" customWidth="1" min="14" max="14"/>
    <col width="16" customWidth="1" min="15" max="15"/>
    <col width="28" customWidth="1" min="16" max="16"/>
  </cols>
  <sheetData>
    <row r="1" ht="30" customHeight="1">
      <c r="A1" s="1" t="inlineStr">
        <is>
          <t>CO #</t>
        </is>
      </c>
      <c r="B1" s="1" t="inlineStr">
        <is>
          <t>CO Date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T</t>
        </is>
      </c>
      <c r="F1" s="1" t="inlineStr">
        <is>
          <t>W</t>
        </is>
      </c>
      <c r="G1" s="1" t="inlineStr">
        <is>
          <t>Len</t>
        </is>
      </c>
      <c r="H1" s="1" t="inlineStr">
        <is>
          <t>Qty Change</t>
        </is>
      </c>
      <c r="I1" s="1" t="inlineStr">
        <is>
          <t>Unit Cost</t>
        </is>
      </c>
      <c r="J1" s="1" t="inlineStr">
        <is>
          <t>Footage/SF</t>
        </is>
      </c>
      <c r="K1" s="1" t="inlineStr">
        <is>
          <t>LF</t>
        </is>
      </c>
      <c r="L1" s="1" t="inlineStr">
        <is>
          <t>BF/SF</t>
        </is>
      </c>
      <c r="M1" s="1" t="inlineStr">
        <is>
          <t>Amount</t>
        </is>
      </c>
      <c r="N1" s="1" t="inlineStr">
        <is>
          <t>Amount+Tax</t>
        </is>
      </c>
      <c r="O1" s="1" t="inlineStr">
        <is>
          <t>Action</t>
        </is>
      </c>
      <c r="P1" s="1" t="inlineStr">
        <is>
          <t>Matched PO 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  <col width="10" customWidth="1" min="4" max="4"/>
    <col width="6" customWidth="1" min="5" max="5"/>
    <col width="6" customWidth="1" min="6" max="6"/>
    <col width="8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</cols>
  <sheetData>
    <row r="1" ht="30" customHeight="1">
      <c r="A1" s="1" t="inlineStr">
        <is>
          <t>Invoice #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T</t>
        </is>
      </c>
      <c r="F1" s="1" t="inlineStr">
        <is>
          <t>W</t>
        </is>
      </c>
      <c r="G1" s="1" t="inlineStr">
        <is>
          <t>Length</t>
        </is>
      </c>
      <c r="H1" s="1" t="inlineStr">
        <is>
          <t>Qty Delivered</t>
        </is>
      </c>
      <c r="I1" s="1" t="inlineStr">
        <is>
          <t>Delivered LF</t>
        </is>
      </c>
      <c r="J1" s="1" t="inlineStr">
        <is>
          <t>Delivered BF/SF</t>
        </is>
      </c>
      <c r="K1" s="1" t="inlineStr">
        <is>
          <t>Delivered Cost</t>
        </is>
      </c>
      <c r="L1" s="1" t="inlineStr">
        <is>
          <t>Delivered Cost+Tax</t>
        </is>
      </c>
    </row>
    <row r="2">
      <c r="A2" s="47" t="inlineStr">
        <is>
          <t>60126015</t>
        </is>
      </c>
      <c r="B2" s="47" t="inlineStr">
        <is>
          <t>2026-06-18</t>
        </is>
      </c>
      <c r="C2" s="48" t="inlineStr">
        <is>
          <t>1-3/4 X 18 LVL</t>
        </is>
      </c>
      <c r="D2" s="47" t="inlineStr">
        <is>
          <t>LVL</t>
        </is>
      </c>
      <c r="E2" s="47" t="n">
        <v>1.75</v>
      </c>
      <c r="F2" s="47" t="n">
        <v>18</v>
      </c>
      <c r="G2" s="47" t="n">
        <v>12</v>
      </c>
      <c r="H2" s="49" t="n">
        <v>4</v>
      </c>
      <c r="I2" s="50" t="n">
        <v>48</v>
      </c>
      <c r="J2" s="50" t="n">
        <v>0</v>
      </c>
      <c r="K2" s="51" t="n">
        <v>511.2</v>
      </c>
      <c r="L2" s="51" t="n">
        <v>511.2</v>
      </c>
    </row>
    <row r="3">
      <c r="A3" s="52" t="inlineStr">
        <is>
          <t>60126015</t>
        </is>
      </c>
      <c r="B3" s="52" t="inlineStr">
        <is>
          <t>2026-06-18</t>
        </is>
      </c>
      <c r="C3" s="53" t="inlineStr">
        <is>
          <t>15/32" APA Rated</t>
        </is>
      </c>
      <c r="D3" s="52" t="inlineStr">
        <is>
          <t>Panels</t>
        </is>
      </c>
      <c r="E3" s="52" t="n">
        <v>4</v>
      </c>
      <c r="F3" s="52" t="n">
        <v>8</v>
      </c>
      <c r="G3" s="52" t="inlineStr"/>
      <c r="H3" s="54" t="n">
        <v>500</v>
      </c>
      <c r="I3" s="55" t="n">
        <v>0</v>
      </c>
      <c r="J3" s="55" t="n">
        <v>16000</v>
      </c>
      <c r="K3" s="56" t="n">
        <v>7984</v>
      </c>
      <c r="L3" s="56" t="n">
        <v>7984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2026-06-18T01:15:09Z</dcterms:created>
  <dcterms:modified xsi:type="dcterms:W3CDTF">2026-06-18T01:15:10Z</dcterms:modified>
</cp:coreProperties>
</file>