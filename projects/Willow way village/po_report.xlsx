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DDEEFF"/>
      </patternFill>
    </fill>
    <fill>
      <patternFill patternType="solid">
        <fgColor rgb="00AACCEE"/>
      </patternFill>
    </fill>
    <fill>
      <patternFill patternType="solid">
        <fgColor rgb="00D4EDDA"/>
      </patternFill>
    </fill>
    <fill>
      <patternFill patternType="solid">
        <fgColor rgb="0093C47D"/>
      </patternFill>
    </fill>
    <fill>
      <patternFill patternType="solid">
        <fgColor rgb="00F8D7DA"/>
      </patternFill>
    </fill>
    <fill>
      <patternFill patternType="solid">
        <fgColor rgb="00E06666"/>
      </patternFill>
    </fill>
    <fill>
      <patternFill patternType="solid">
        <fgColor rgb="00FFF3CD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4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4" fontId="2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164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4" fontId="2" fillId="9" borderId="1" applyAlignment="1" pivotButton="0" quotePrefix="0" xfId="0">
      <alignment horizontal="center" vertical="center"/>
    </xf>
    <xf numFmtId="164" fontId="2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164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7" customWidth="1" min="3" max="3"/>
    <col width="6" customWidth="1" min="4" max="4"/>
    <col width="7" customWidth="1" min="5" max="5"/>
    <col width="9" customWidth="1" min="6" max="6"/>
    <col width="11" customWidth="1" min="7" max="7"/>
    <col width="12" customWidth="1" min="8" max="8"/>
    <col width="12" customWidth="1" min="9" max="9"/>
    <col width="14" customWidth="1" min="10" max="10"/>
    <col width="14" customWidth="1" min="11" max="11"/>
  </cols>
  <sheetData>
    <row r="1" ht="30" customHeight="1">
      <c r="A1" s="1" t="inlineStr">
        <is>
          <t>Type</t>
        </is>
      </c>
      <c r="B1" s="1" t="inlineStr">
        <is>
          <t>Description</t>
        </is>
      </c>
      <c r="C1" s="1" t="inlineStr">
        <is>
          <t>T</t>
        </is>
      </c>
      <c r="D1" s="1" t="inlineStr">
        <is>
          <t>W</t>
        </is>
      </c>
      <c r="E1" s="1" t="inlineStr">
        <is>
          <t>Length</t>
        </is>
      </c>
      <c r="F1" s="1" t="inlineStr">
        <is>
          <t>PO Qty</t>
        </is>
      </c>
      <c r="G1" s="1" t="inlineStr">
        <is>
          <t>Unit Cost</t>
        </is>
      </c>
      <c r="H1" s="1" t="inlineStr">
        <is>
          <t>LF</t>
        </is>
      </c>
      <c r="I1" s="1" t="inlineStr">
        <is>
          <t>BF/SF</t>
        </is>
      </c>
      <c r="J1" s="1" t="inlineStr">
        <is>
          <t>Total Cost</t>
        </is>
      </c>
      <c r="K1" s="1" t="inlineStr">
        <is>
          <t>Total Cost+Tax</t>
        </is>
      </c>
    </row>
    <row r="2">
      <c r="A2" s="2" t="inlineStr">
        <is>
          <t>Lumber</t>
        </is>
      </c>
      <c r="B2" s="3" t="inlineStr">
        <is>
          <t>6 x 6 10 PT</t>
        </is>
      </c>
      <c r="C2" s="2" t="n">
        <v>6</v>
      </c>
      <c r="D2" s="2" t="n">
        <v>6</v>
      </c>
      <c r="E2" s="2" t="n">
        <v>10</v>
      </c>
      <c r="F2" s="4" t="n">
        <v>5</v>
      </c>
      <c r="G2" s="4" t="n">
        <v>1145</v>
      </c>
      <c r="H2" s="4" t="n">
        <v>50</v>
      </c>
      <c r="I2" s="4" t="n">
        <v>150</v>
      </c>
      <c r="J2" s="5" t="n">
        <v>171.75</v>
      </c>
      <c r="K2" s="5" t="n">
        <v>182.06</v>
      </c>
    </row>
    <row r="3">
      <c r="A3" s="2" t="inlineStr">
        <is>
          <t>Lumber</t>
        </is>
      </c>
      <c r="B3" s="3" t="inlineStr">
        <is>
          <t>2 x 4 1 PT</t>
        </is>
      </c>
      <c r="C3" s="2" t="n">
        <v>2</v>
      </c>
      <c r="D3" s="2" t="n">
        <v>4</v>
      </c>
      <c r="E3" s="2" t="n">
        <v>1</v>
      </c>
      <c r="F3" s="4" t="n">
        <v>2922</v>
      </c>
      <c r="G3" s="4" t="n">
        <v>785</v>
      </c>
      <c r="H3" s="4" t="n">
        <v>2922</v>
      </c>
      <c r="I3" s="4" t="n">
        <v>1948</v>
      </c>
      <c r="J3" s="5" t="n">
        <v>1529.18</v>
      </c>
      <c r="K3" s="5" t="n">
        <v>1620.93</v>
      </c>
    </row>
    <row r="4">
      <c r="A4" s="2" t="inlineStr">
        <is>
          <t>Lumber</t>
        </is>
      </c>
      <c r="B4" s="3" t="inlineStr">
        <is>
          <t>2 x 4 10 PT</t>
        </is>
      </c>
      <c r="C4" s="2" t="n">
        <v>2</v>
      </c>
      <c r="D4" s="2" t="n">
        <v>4</v>
      </c>
      <c r="E4" s="2" t="n">
        <v>10</v>
      </c>
      <c r="F4" s="4" t="n">
        <v>5</v>
      </c>
      <c r="G4" s="4" t="n">
        <v>785</v>
      </c>
      <c r="H4" s="4" t="n">
        <v>50</v>
      </c>
      <c r="I4" s="4" t="n">
        <v>33.3333</v>
      </c>
      <c r="J4" s="5" t="n">
        <v>26.17</v>
      </c>
      <c r="K4" s="5" t="n">
        <v>27.74</v>
      </c>
    </row>
    <row r="5">
      <c r="A5" s="2" t="inlineStr">
        <is>
          <t>Lumber</t>
        </is>
      </c>
      <c r="B5" s="3" t="inlineStr">
        <is>
          <t>2 x 6 1 PT</t>
        </is>
      </c>
      <c r="C5" s="2" t="n">
        <v>2</v>
      </c>
      <c r="D5" s="2" t="n">
        <v>6</v>
      </c>
      <c r="E5" s="2" t="n">
        <v>1</v>
      </c>
      <c r="F5" s="4" t="n">
        <v>2846</v>
      </c>
      <c r="G5" s="4" t="n">
        <v>785</v>
      </c>
      <c r="H5" s="4" t="n">
        <v>2846</v>
      </c>
      <c r="I5" s="4" t="n">
        <v>2846</v>
      </c>
      <c r="J5" s="5" t="n">
        <v>2234.11</v>
      </c>
      <c r="K5" s="5" t="n">
        <v>2368.16</v>
      </c>
    </row>
    <row r="6">
      <c r="A6" s="2" t="inlineStr">
        <is>
          <t>Lumber</t>
        </is>
      </c>
      <c r="B6" s="3" t="inlineStr">
        <is>
          <t>2 x 8 1 PT</t>
        </is>
      </c>
      <c r="C6" s="2" t="n">
        <v>2</v>
      </c>
      <c r="D6" s="2" t="n">
        <v>8</v>
      </c>
      <c r="E6" s="2" t="n">
        <v>1</v>
      </c>
      <c r="F6" s="4" t="n">
        <v>378</v>
      </c>
      <c r="G6" s="4" t="n">
        <v>815</v>
      </c>
      <c r="H6" s="4" t="n">
        <v>378</v>
      </c>
      <c r="I6" s="4" t="n">
        <v>504</v>
      </c>
      <c r="J6" s="5" t="n">
        <v>410.76</v>
      </c>
      <c r="K6" s="5" t="n">
        <v>435.41</v>
      </c>
    </row>
    <row r="7">
      <c r="A7" s="2" t="inlineStr">
        <is>
          <t>Lumber</t>
        </is>
      </c>
      <c r="B7" s="3" t="inlineStr">
        <is>
          <t>2 x 4 1 SYP #2</t>
        </is>
      </c>
      <c r="C7" s="2" t="n">
        <v>2</v>
      </c>
      <c r="D7" s="2" t="n">
        <v>4</v>
      </c>
      <c r="E7" s="2" t="n">
        <v>1</v>
      </c>
      <c r="F7" s="4" t="n">
        <v>51980</v>
      </c>
      <c r="G7" s="4" t="n">
        <v>515</v>
      </c>
      <c r="H7" s="4" t="n">
        <v>51980</v>
      </c>
      <c r="I7" s="4" t="n">
        <v>34653.3333</v>
      </c>
      <c r="J7" s="5" t="n">
        <v>17846.47</v>
      </c>
      <c r="K7" s="5" t="n">
        <v>18917.26</v>
      </c>
    </row>
    <row r="8">
      <c r="A8" s="2" t="inlineStr">
        <is>
          <t>Lumber</t>
        </is>
      </c>
      <c r="B8" s="3" t="inlineStr">
        <is>
          <t>2 x 4 1 SYP #2</t>
        </is>
      </c>
      <c r="C8" s="2" t="n">
        <v>2</v>
      </c>
      <c r="D8" s="2" t="n">
        <v>4</v>
      </c>
      <c r="E8" s="2" t="n">
        <v>1</v>
      </c>
      <c r="F8" s="4" t="n">
        <v>1175</v>
      </c>
      <c r="G8" s="4" t="n">
        <v>515</v>
      </c>
      <c r="H8" s="4" t="n">
        <v>1175</v>
      </c>
      <c r="I8" s="4" t="n">
        <v>783.3333</v>
      </c>
      <c r="J8" s="5" t="n">
        <v>403.42</v>
      </c>
      <c r="K8" s="5" t="n">
        <v>427.63</v>
      </c>
    </row>
    <row r="9">
      <c r="A9" s="2" t="inlineStr">
        <is>
          <t>Lumber</t>
        </is>
      </c>
      <c r="B9" s="3" t="inlineStr">
        <is>
          <t>2 x 4 12 SYP #2</t>
        </is>
      </c>
      <c r="C9" s="2" t="n">
        <v>2</v>
      </c>
      <c r="D9" s="2" t="n">
        <v>4</v>
      </c>
      <c r="E9" s="2" t="n">
        <v>12</v>
      </c>
      <c r="F9" s="4" t="n">
        <v>478</v>
      </c>
      <c r="G9" s="4" t="n">
        <v>515</v>
      </c>
      <c r="H9" s="4" t="n">
        <v>5736</v>
      </c>
      <c r="I9" s="4" t="n">
        <v>3824</v>
      </c>
      <c r="J9" s="5" t="n">
        <v>1969.36</v>
      </c>
      <c r="K9" s="5" t="n">
        <v>2087.52</v>
      </c>
    </row>
    <row r="10">
      <c r="A10" s="2" t="inlineStr">
        <is>
          <t>Lumber</t>
        </is>
      </c>
      <c r="B10" s="3" t="inlineStr">
        <is>
          <t>2 x 4 8 SYP #2</t>
        </is>
      </c>
      <c r="C10" s="2" t="n">
        <v>2</v>
      </c>
      <c r="D10" s="2" t="n">
        <v>4</v>
      </c>
      <c r="E10" s="2" t="n">
        <v>8</v>
      </c>
      <c r="F10" s="4" t="n">
        <v>26</v>
      </c>
      <c r="G10" s="4" t="n">
        <v>515</v>
      </c>
      <c r="H10" s="4" t="n">
        <v>208</v>
      </c>
      <c r="I10" s="4" t="n">
        <v>138.6667</v>
      </c>
      <c r="J10" s="5" t="n">
        <v>71.41</v>
      </c>
      <c r="K10" s="5" t="n">
        <v>75.69</v>
      </c>
    </row>
    <row r="11">
      <c r="A11" s="2" t="inlineStr">
        <is>
          <t>Lumber</t>
        </is>
      </c>
      <c r="B11" s="3" t="inlineStr">
        <is>
          <t>2 x 4 9 SYP #2 PET 104-5/8</t>
        </is>
      </c>
      <c r="C11" s="2" t="n">
        <v>2</v>
      </c>
      <c r="D11" s="2" t="n">
        <v>4</v>
      </c>
      <c r="E11" s="2" t="n">
        <v>9</v>
      </c>
      <c r="F11" s="4" t="n">
        <v>7116</v>
      </c>
      <c r="G11" s="4" t="n">
        <v>525</v>
      </c>
      <c r="H11" s="4" t="n">
        <v>64044</v>
      </c>
      <c r="I11" s="4" t="n">
        <v>42696</v>
      </c>
      <c r="J11" s="5" t="n">
        <v>22415.4</v>
      </c>
      <c r="K11" s="5" t="n">
        <v>23760.32</v>
      </c>
    </row>
    <row r="12">
      <c r="A12" s="2" t="inlineStr">
        <is>
          <t>Lumber</t>
        </is>
      </c>
      <c r="B12" s="3" t="inlineStr">
        <is>
          <t>2 x 4 12 SYP #2</t>
        </is>
      </c>
      <c r="C12" s="2" t="n">
        <v>2</v>
      </c>
      <c r="D12" s="2" t="n">
        <v>4</v>
      </c>
      <c r="E12" s="2" t="n">
        <v>12</v>
      </c>
      <c r="F12" s="4" t="n">
        <v>353</v>
      </c>
      <c r="G12" s="4" t="n">
        <v>515</v>
      </c>
      <c r="H12" s="4" t="n">
        <v>4236</v>
      </c>
      <c r="I12" s="4" t="n">
        <v>2824</v>
      </c>
      <c r="J12" s="5" t="n">
        <v>1454.36</v>
      </c>
      <c r="K12" s="5" t="n">
        <v>1541.62</v>
      </c>
    </row>
    <row r="13">
      <c r="A13" s="2" t="inlineStr">
        <is>
          <t>Lumber</t>
        </is>
      </c>
      <c r="B13" s="3" t="inlineStr">
        <is>
          <t>2 x 4 14 SYP #2</t>
        </is>
      </c>
      <c r="C13" s="2" t="n">
        <v>2</v>
      </c>
      <c r="D13" s="2" t="n">
        <v>4</v>
      </c>
      <c r="E13" s="2" t="n">
        <v>14</v>
      </c>
      <c r="F13" s="4" t="n">
        <v>158</v>
      </c>
      <c r="G13" s="4" t="n">
        <v>515</v>
      </c>
      <c r="H13" s="4" t="n">
        <v>2212</v>
      </c>
      <c r="I13" s="4" t="n">
        <v>1474.6667</v>
      </c>
      <c r="J13" s="5" t="n">
        <v>759.45</v>
      </c>
      <c r="K13" s="5" t="n">
        <v>805.02</v>
      </c>
    </row>
    <row r="14">
      <c r="A14" s="2" t="inlineStr">
        <is>
          <t>Lumber</t>
        </is>
      </c>
      <c r="B14" s="3" t="inlineStr">
        <is>
          <t>2 x 4 16 SYP #2</t>
        </is>
      </c>
      <c r="C14" s="2" t="n">
        <v>2</v>
      </c>
      <c r="D14" s="2" t="n">
        <v>4</v>
      </c>
      <c r="E14" s="2" t="n">
        <v>16</v>
      </c>
      <c r="F14" s="4" t="n">
        <v>21</v>
      </c>
      <c r="G14" s="4" t="n">
        <v>515</v>
      </c>
      <c r="H14" s="4" t="n">
        <v>336</v>
      </c>
      <c r="I14" s="4" t="n">
        <v>224</v>
      </c>
      <c r="J14" s="5" t="n">
        <v>115.36</v>
      </c>
      <c r="K14" s="5" t="n">
        <v>122.28</v>
      </c>
    </row>
    <row r="15">
      <c r="A15" s="2" t="inlineStr">
        <is>
          <t>Lumber</t>
        </is>
      </c>
      <c r="B15" s="3" t="inlineStr">
        <is>
          <t>2 x 6 1 SYP #2</t>
        </is>
      </c>
      <c r="C15" s="2" t="n">
        <v>2</v>
      </c>
      <c r="D15" s="2" t="n">
        <v>6</v>
      </c>
      <c r="E15" s="2" t="n">
        <v>1</v>
      </c>
      <c r="F15" s="4" t="n">
        <v>37494</v>
      </c>
      <c r="G15" s="4" t="n">
        <v>435</v>
      </c>
      <c r="H15" s="4" t="n">
        <v>37494</v>
      </c>
      <c r="I15" s="4" t="n">
        <v>37494</v>
      </c>
      <c r="J15" s="5" t="n">
        <v>16309.89</v>
      </c>
      <c r="K15" s="5" t="n">
        <v>17288.48</v>
      </c>
    </row>
    <row r="16">
      <c r="A16" s="2" t="inlineStr">
        <is>
          <t>Lumber</t>
        </is>
      </c>
      <c r="B16" s="3" t="inlineStr">
        <is>
          <t>2 x 6 12 SYP #2</t>
        </is>
      </c>
      <c r="C16" s="2" t="n">
        <v>2</v>
      </c>
      <c r="D16" s="2" t="n">
        <v>6</v>
      </c>
      <c r="E16" s="2" t="n">
        <v>12</v>
      </c>
      <c r="F16" s="4" t="n">
        <v>94</v>
      </c>
      <c r="G16" s="4" t="n">
        <v>435</v>
      </c>
      <c r="H16" s="4" t="n">
        <v>1128</v>
      </c>
      <c r="I16" s="4" t="n">
        <v>1128</v>
      </c>
      <c r="J16" s="5" t="n">
        <v>490.68</v>
      </c>
      <c r="K16" s="5" t="n">
        <v>520.12</v>
      </c>
    </row>
    <row r="17">
      <c r="A17" s="2" t="inlineStr">
        <is>
          <t>Lumber</t>
        </is>
      </c>
      <c r="B17" s="3" t="inlineStr">
        <is>
          <t>2 x 6 9 SYP #2 PET 104-5/8</t>
        </is>
      </c>
      <c r="C17" s="2" t="n">
        <v>2</v>
      </c>
      <c r="D17" s="2" t="n">
        <v>6</v>
      </c>
      <c r="E17" s="2" t="n">
        <v>9</v>
      </c>
      <c r="F17" s="4" t="n">
        <v>9177</v>
      </c>
      <c r="G17" s="4" t="n">
        <v>525</v>
      </c>
      <c r="H17" s="4" t="n">
        <v>82593</v>
      </c>
      <c r="I17" s="4" t="n">
        <v>82593</v>
      </c>
      <c r="J17" s="5" t="n">
        <v>43361.32</v>
      </c>
      <c r="K17" s="5" t="n">
        <v>45963</v>
      </c>
    </row>
    <row r="18">
      <c r="A18" s="2" t="inlineStr">
        <is>
          <t>Lumber</t>
        </is>
      </c>
      <c r="B18" s="3" t="inlineStr">
        <is>
          <t>2 x 6 12 SYP #2</t>
        </is>
      </c>
      <c r="C18" s="2" t="n">
        <v>2</v>
      </c>
      <c r="D18" s="2" t="n">
        <v>6</v>
      </c>
      <c r="E18" s="2" t="n">
        <v>12</v>
      </c>
      <c r="F18" s="4" t="n">
        <v>717</v>
      </c>
      <c r="G18" s="4" t="n">
        <v>435</v>
      </c>
      <c r="H18" s="4" t="n">
        <v>8604</v>
      </c>
      <c r="I18" s="4" t="n">
        <v>8604</v>
      </c>
      <c r="J18" s="5" t="n">
        <v>3742.74</v>
      </c>
      <c r="K18" s="5" t="n">
        <v>3967.3</v>
      </c>
    </row>
    <row r="19">
      <c r="A19" s="2" t="inlineStr">
        <is>
          <t>Lumber</t>
        </is>
      </c>
      <c r="B19" s="3" t="inlineStr">
        <is>
          <t>2 x 6 14 SYP #2</t>
        </is>
      </c>
      <c r="C19" s="2" t="n">
        <v>2</v>
      </c>
      <c r="D19" s="2" t="n">
        <v>6</v>
      </c>
      <c r="E19" s="2" t="n">
        <v>14</v>
      </c>
      <c r="F19" s="4" t="n">
        <v>231</v>
      </c>
      <c r="G19" s="4" t="n">
        <v>435</v>
      </c>
      <c r="H19" s="4" t="n">
        <v>3234</v>
      </c>
      <c r="I19" s="4" t="n">
        <v>3234</v>
      </c>
      <c r="J19" s="5" t="n">
        <v>1406.79</v>
      </c>
      <c r="K19" s="5" t="n">
        <v>1491.2</v>
      </c>
    </row>
    <row r="20">
      <c r="A20" s="2" t="inlineStr">
        <is>
          <t>Lumber</t>
        </is>
      </c>
      <c r="B20" s="3" t="inlineStr">
        <is>
          <t>2 x 6 16 SYP #2</t>
        </is>
      </c>
      <c r="C20" s="2" t="n">
        <v>2</v>
      </c>
      <c r="D20" s="2" t="n">
        <v>6</v>
      </c>
      <c r="E20" s="2" t="n">
        <v>16</v>
      </c>
      <c r="F20" s="4" t="n">
        <v>404</v>
      </c>
      <c r="G20" s="4" t="n">
        <v>435</v>
      </c>
      <c r="H20" s="4" t="n">
        <v>6464</v>
      </c>
      <c r="I20" s="4" t="n">
        <v>6464</v>
      </c>
      <c r="J20" s="5" t="n">
        <v>2811.84</v>
      </c>
      <c r="K20" s="5" t="n">
        <v>2980.55</v>
      </c>
    </row>
    <row r="21">
      <c r="A21" s="2" t="inlineStr">
        <is>
          <t>Lumber</t>
        </is>
      </c>
      <c r="B21" s="3" t="inlineStr">
        <is>
          <t>2 x 8 1 SYP #2</t>
        </is>
      </c>
      <c r="C21" s="2" t="n">
        <v>2</v>
      </c>
      <c r="D21" s="2" t="n">
        <v>8</v>
      </c>
      <c r="E21" s="2" t="n">
        <v>1</v>
      </c>
      <c r="F21" s="4" t="n">
        <v>9078</v>
      </c>
      <c r="G21" s="4" t="n">
        <v>485</v>
      </c>
      <c r="H21" s="4" t="n">
        <v>9078</v>
      </c>
      <c r="I21" s="4" t="n">
        <v>12104</v>
      </c>
      <c r="J21" s="5" t="n">
        <v>5870.44</v>
      </c>
      <c r="K21" s="5" t="n">
        <v>6222.67</v>
      </c>
    </row>
    <row r="22">
      <c r="A22" s="2" t="inlineStr">
        <is>
          <t>Lumber</t>
        </is>
      </c>
      <c r="B22" s="3" t="inlineStr">
        <is>
          <t>2 x 8 9 SYP #2 PET 104-5/8</t>
        </is>
      </c>
      <c r="C22" s="2" t="n">
        <v>2</v>
      </c>
      <c r="D22" s="2" t="n">
        <v>8</v>
      </c>
      <c r="E22" s="2" t="n">
        <v>9</v>
      </c>
      <c r="F22" s="4" t="n">
        <v>982</v>
      </c>
      <c r="G22" s="4" t="n">
        <v>485</v>
      </c>
      <c r="H22" s="4" t="n">
        <v>8838</v>
      </c>
      <c r="I22" s="4" t="n">
        <v>11784</v>
      </c>
      <c r="J22" s="5" t="n">
        <v>5715.24</v>
      </c>
      <c r="K22" s="5" t="n">
        <v>6058.15</v>
      </c>
    </row>
    <row r="23">
      <c r="A23" s="2" t="inlineStr">
        <is>
          <t>Lumber</t>
        </is>
      </c>
      <c r="B23" s="3" t="inlineStr">
        <is>
          <t>2 x 10 1 SYP #2</t>
        </is>
      </c>
      <c r="C23" s="2" t="n">
        <v>2</v>
      </c>
      <c r="D23" s="2" t="n">
        <v>10</v>
      </c>
      <c r="E23" s="2" t="n">
        <v>1</v>
      </c>
      <c r="F23" s="4" t="n">
        <v>6122</v>
      </c>
      <c r="G23" s="4" t="n">
        <v>485</v>
      </c>
      <c r="H23" s="4" t="n">
        <v>6122</v>
      </c>
      <c r="I23" s="4" t="n">
        <v>10203.3333</v>
      </c>
      <c r="J23" s="5" t="n">
        <v>4948.62</v>
      </c>
      <c r="K23" s="5" t="n">
        <v>5245.54</v>
      </c>
    </row>
    <row r="24">
      <c r="A24" s="2" t="inlineStr">
        <is>
          <t>Lumber</t>
        </is>
      </c>
      <c r="B24" s="3" t="inlineStr">
        <is>
          <t>2 x 10 10 SYP #2</t>
        </is>
      </c>
      <c r="C24" s="2" t="n">
        <v>2</v>
      </c>
      <c r="D24" s="2" t="n">
        <v>10</v>
      </c>
      <c r="E24" s="2" t="n">
        <v>10</v>
      </c>
      <c r="F24" s="4" t="n">
        <v>161</v>
      </c>
      <c r="G24" s="4" t="n">
        <v>485</v>
      </c>
      <c r="H24" s="4" t="n">
        <v>1610</v>
      </c>
      <c r="I24" s="4" t="n">
        <v>2683.3333</v>
      </c>
      <c r="J24" s="5" t="n">
        <v>1301.42</v>
      </c>
      <c r="K24" s="5" t="n">
        <v>1379.51</v>
      </c>
    </row>
    <row r="25">
      <c r="A25" s="2" t="inlineStr">
        <is>
          <t>Lumber</t>
        </is>
      </c>
      <c r="B25" s="3" t="inlineStr">
        <is>
          <t>2 x 10 12 SYP #2</t>
        </is>
      </c>
      <c r="C25" s="2" t="n">
        <v>2</v>
      </c>
      <c r="D25" s="2" t="n">
        <v>10</v>
      </c>
      <c r="E25" s="2" t="n">
        <v>12</v>
      </c>
      <c r="F25" s="4" t="n">
        <v>128</v>
      </c>
      <c r="G25" s="4" t="n">
        <v>485</v>
      </c>
      <c r="H25" s="4" t="n">
        <v>1536</v>
      </c>
      <c r="I25" s="4" t="n">
        <v>2560</v>
      </c>
      <c r="J25" s="5" t="n">
        <v>1241.6</v>
      </c>
      <c r="K25" s="5" t="n">
        <v>1316.1</v>
      </c>
    </row>
    <row r="26">
      <c r="A26" s="2" t="inlineStr">
        <is>
          <t>Lumber</t>
        </is>
      </c>
      <c r="B26" s="3" t="inlineStr">
        <is>
          <t>2 x 10 10 SYP #2</t>
        </is>
      </c>
      <c r="C26" s="2" t="n">
        <v>2</v>
      </c>
      <c r="D26" s="2" t="n">
        <v>10</v>
      </c>
      <c r="E26" s="2" t="n">
        <v>10</v>
      </c>
      <c r="F26" s="4" t="n">
        <v>47</v>
      </c>
      <c r="G26" s="4" t="n">
        <v>485</v>
      </c>
      <c r="H26" s="4" t="n">
        <v>470</v>
      </c>
      <c r="I26" s="4" t="n">
        <v>783.3333</v>
      </c>
      <c r="J26" s="5" t="n">
        <v>379.92</v>
      </c>
      <c r="K26" s="5" t="n">
        <v>402.72</v>
      </c>
    </row>
    <row r="27">
      <c r="A27" s="2" t="inlineStr">
        <is>
          <t>Lumber</t>
        </is>
      </c>
      <c r="B27" s="3" t="inlineStr">
        <is>
          <t>2 x 10 12 SYP #2</t>
        </is>
      </c>
      <c r="C27" s="2" t="n">
        <v>2</v>
      </c>
      <c r="D27" s="2" t="n">
        <v>10</v>
      </c>
      <c r="E27" s="2" t="n">
        <v>12</v>
      </c>
      <c r="F27" s="4" t="n">
        <v>60</v>
      </c>
      <c r="G27" s="4" t="n">
        <v>485</v>
      </c>
      <c r="H27" s="4" t="n">
        <v>720</v>
      </c>
      <c r="I27" s="4" t="n">
        <v>1200</v>
      </c>
      <c r="J27" s="5" t="n">
        <v>582</v>
      </c>
      <c r="K27" s="5" t="n">
        <v>616.92</v>
      </c>
    </row>
    <row r="28">
      <c r="A28" s="2" t="inlineStr">
        <is>
          <t>Lumber</t>
        </is>
      </c>
      <c r="B28" s="3" t="inlineStr">
        <is>
          <t>2 x 10 14 SYP #2</t>
        </is>
      </c>
      <c r="C28" s="2" t="n">
        <v>2</v>
      </c>
      <c r="D28" s="2" t="n">
        <v>10</v>
      </c>
      <c r="E28" s="2" t="n">
        <v>14</v>
      </c>
      <c r="F28" s="4" t="n">
        <v>26</v>
      </c>
      <c r="G28" s="4" t="n">
        <v>485</v>
      </c>
      <c r="H28" s="4" t="n">
        <v>364</v>
      </c>
      <c r="I28" s="4" t="n">
        <v>606.6667</v>
      </c>
      <c r="J28" s="5" t="n">
        <v>294.23</v>
      </c>
      <c r="K28" s="5" t="n">
        <v>311.88</v>
      </c>
    </row>
    <row r="29">
      <c r="A29" s="2" t="inlineStr">
        <is>
          <t>Lumber</t>
        </is>
      </c>
      <c r="B29" s="3" t="inlineStr">
        <is>
          <t>2 x 12 1 SYP #2</t>
        </is>
      </c>
      <c r="C29" s="2" t="n">
        <v>2</v>
      </c>
      <c r="D29" s="2" t="n">
        <v>12</v>
      </c>
      <c r="E29" s="2" t="n">
        <v>1</v>
      </c>
      <c r="F29" s="4" t="n">
        <v>693</v>
      </c>
      <c r="G29" s="4" t="n">
        <v>535</v>
      </c>
      <c r="H29" s="4" t="n">
        <v>693</v>
      </c>
      <c r="I29" s="4" t="n">
        <v>1386</v>
      </c>
      <c r="J29" s="5" t="n">
        <v>741.51</v>
      </c>
      <c r="K29" s="5" t="n">
        <v>786</v>
      </c>
    </row>
    <row r="30">
      <c r="A30" s="2" t="inlineStr">
        <is>
          <t>Lumber</t>
        </is>
      </c>
      <c r="B30" s="3" t="inlineStr">
        <is>
          <t>2 x 12 1 SYP #2</t>
        </is>
      </c>
      <c r="C30" s="2" t="n">
        <v>2</v>
      </c>
      <c r="D30" s="2" t="n">
        <v>12</v>
      </c>
      <c r="E30" s="2" t="n">
        <v>1</v>
      </c>
      <c r="F30" s="4" t="n">
        <v>18</v>
      </c>
      <c r="G30" s="4" t="n">
        <v>535</v>
      </c>
      <c r="H30" s="4" t="n">
        <v>18</v>
      </c>
      <c r="I30" s="4" t="n">
        <v>36</v>
      </c>
      <c r="J30" s="5" t="n">
        <v>19.26</v>
      </c>
      <c r="K30" s="5" t="n">
        <v>20.42</v>
      </c>
    </row>
    <row r="31">
      <c r="A31" s="2" t="inlineStr">
        <is>
          <t>Lumber</t>
        </is>
      </c>
      <c r="B31" s="3" t="inlineStr">
        <is>
          <t>2 x 12 10 SYP #2</t>
        </is>
      </c>
      <c r="C31" s="2" t="n">
        <v>2</v>
      </c>
      <c r="D31" s="2" t="n">
        <v>12</v>
      </c>
      <c r="E31" s="2" t="n">
        <v>10</v>
      </c>
      <c r="F31" s="4" t="n">
        <v>115</v>
      </c>
      <c r="G31" s="4" t="n">
        <v>535</v>
      </c>
      <c r="H31" s="4" t="n">
        <v>1150</v>
      </c>
      <c r="I31" s="4" t="n">
        <v>2300</v>
      </c>
      <c r="J31" s="5" t="n">
        <v>1230.5</v>
      </c>
      <c r="K31" s="5" t="n">
        <v>1304.33</v>
      </c>
    </row>
    <row r="32">
      <c r="A32" s="2" t="inlineStr">
        <is>
          <t>Lumber</t>
        </is>
      </c>
      <c r="B32" s="3" t="inlineStr">
        <is>
          <t>2 x 12 12 SYP #2</t>
        </is>
      </c>
      <c r="C32" s="2" t="n">
        <v>2</v>
      </c>
      <c r="D32" s="2" t="n">
        <v>12</v>
      </c>
      <c r="E32" s="2" t="n">
        <v>12</v>
      </c>
      <c r="F32" s="4" t="n">
        <v>131</v>
      </c>
      <c r="G32" s="4" t="n">
        <v>535</v>
      </c>
      <c r="H32" s="4" t="n">
        <v>1572</v>
      </c>
      <c r="I32" s="4" t="n">
        <v>3144</v>
      </c>
      <c r="J32" s="5" t="n">
        <v>1682.04</v>
      </c>
      <c r="K32" s="5" t="n">
        <v>1782.96</v>
      </c>
    </row>
    <row r="33">
      <c r="A33" s="2" t="inlineStr">
        <is>
          <t>Lumber</t>
        </is>
      </c>
      <c r="B33" s="3" t="inlineStr">
        <is>
          <t>2 x 12 14 SYP #2</t>
        </is>
      </c>
      <c r="C33" s="2" t="n">
        <v>2</v>
      </c>
      <c r="D33" s="2" t="n">
        <v>12</v>
      </c>
      <c r="E33" s="2" t="n">
        <v>14</v>
      </c>
      <c r="F33" s="4" t="n">
        <v>26</v>
      </c>
      <c r="G33" s="4" t="n">
        <v>535</v>
      </c>
      <c r="H33" s="4" t="n">
        <v>364</v>
      </c>
      <c r="I33" s="4" t="n">
        <v>728</v>
      </c>
      <c r="J33" s="5" t="n">
        <v>389.48</v>
      </c>
      <c r="K33" s="5" t="n">
        <v>412.85</v>
      </c>
    </row>
    <row r="34">
      <c r="A34" s="2" t="inlineStr">
        <is>
          <t>Lumber</t>
        </is>
      </c>
      <c r="B34" s="3" t="inlineStr">
        <is>
          <t>4 x 4 1 SYP #2</t>
        </is>
      </c>
      <c r="C34" s="2" t="n">
        <v>4</v>
      </c>
      <c r="D34" s="2" t="n">
        <v>4</v>
      </c>
      <c r="E34" s="2" t="n">
        <v>1</v>
      </c>
      <c r="F34" s="4" t="n">
        <v>236</v>
      </c>
      <c r="G34" s="4" t="n">
        <v>995</v>
      </c>
      <c r="H34" s="4" t="n">
        <v>236</v>
      </c>
      <c r="I34" s="4" t="n">
        <v>314.6667</v>
      </c>
      <c r="J34" s="5" t="n">
        <v>313.09</v>
      </c>
      <c r="K34" s="5" t="n">
        <v>331.88</v>
      </c>
    </row>
    <row r="35">
      <c r="A35" s="6" t="inlineStr">
        <is>
          <t>LUMBER SUBTOTAL</t>
        </is>
      </c>
      <c r="B35" s="7" t="inlineStr"/>
      <c r="C35" s="7" t="inlineStr"/>
      <c r="D35" s="7" t="inlineStr"/>
      <c r="E35" s="7" t="inlineStr"/>
      <c r="F35" s="7">
        <f>SUM(F2:F34)</f>
        <v/>
      </c>
      <c r="G35" s="7" t="inlineStr"/>
      <c r="H35" s="7">
        <f>SUM(H2:H34)</f>
        <v/>
      </c>
      <c r="I35" s="7">
        <f>SUM(I2:I34)</f>
        <v/>
      </c>
      <c r="J35" s="8">
        <f>SUM(J2:J34)</f>
        <v/>
      </c>
      <c r="K35" s="8">
        <f>SUM(K2:K34)</f>
        <v/>
      </c>
    </row>
    <row r="36">
      <c r="A36" s="9" t="inlineStr">
        <is>
          <t>LVL</t>
        </is>
      </c>
      <c r="B36" s="10" t="inlineStr">
        <is>
          <t>3-1/2X5-1/4 PSL/GLB</t>
        </is>
      </c>
      <c r="C36" s="9" t="n">
        <v>3.5</v>
      </c>
      <c r="D36" s="9" t="n">
        <v>5.25</v>
      </c>
      <c r="E36" s="9" t="n">
        <v>9</v>
      </c>
      <c r="F36" s="11" t="n">
        <v>495</v>
      </c>
      <c r="G36" s="11" t="n">
        <v>6.88</v>
      </c>
      <c r="H36" s="11" t="n">
        <v>4455</v>
      </c>
      <c r="I36" s="11" t="n">
        <v>0</v>
      </c>
      <c r="J36" s="12" t="n">
        <v>30650.4</v>
      </c>
      <c r="K36" s="12" t="n">
        <v>32489.42</v>
      </c>
    </row>
    <row r="37">
      <c r="A37" s="9" t="inlineStr">
        <is>
          <t>LVL</t>
        </is>
      </c>
      <c r="B37" s="10" t="inlineStr">
        <is>
          <t>3-1/2X5-1/4 PSL/GLB</t>
        </is>
      </c>
      <c r="C37" s="9" t="n">
        <v>3.5</v>
      </c>
      <c r="D37" s="9" t="n">
        <v>5.25</v>
      </c>
      <c r="E37" s="9" t="n">
        <v>12</v>
      </c>
      <c r="F37" s="11" t="n">
        <v>16</v>
      </c>
      <c r="G37" s="11" t="n">
        <v>6.88</v>
      </c>
      <c r="H37" s="11" t="n">
        <v>192</v>
      </c>
      <c r="I37" s="11" t="n">
        <v>0</v>
      </c>
      <c r="J37" s="12" t="n">
        <v>1320.96</v>
      </c>
      <c r="K37" s="12" t="n">
        <v>1400.22</v>
      </c>
    </row>
    <row r="38">
      <c r="A38" s="9" t="inlineStr">
        <is>
          <t>LVL</t>
        </is>
      </c>
      <c r="B38" s="10" t="inlineStr">
        <is>
          <t>3-1/2X11-7/8 PSL/GLB</t>
        </is>
      </c>
      <c r="C38" s="9" t="n">
        <v>3.5</v>
      </c>
      <c r="D38" s="9" t="n">
        <v>11.875</v>
      </c>
      <c r="E38" s="9" t="n">
        <v>10</v>
      </c>
      <c r="F38" s="11" t="n">
        <v>26</v>
      </c>
      <c r="G38" s="11" t="n">
        <v>13</v>
      </c>
      <c r="H38" s="11" t="n">
        <v>260</v>
      </c>
      <c r="I38" s="11" t="n">
        <v>0</v>
      </c>
      <c r="J38" s="12" t="n">
        <v>3380</v>
      </c>
      <c r="K38" s="12" t="n">
        <v>3582.8</v>
      </c>
    </row>
    <row r="39">
      <c r="A39" s="9" t="inlineStr">
        <is>
          <t>LVL</t>
        </is>
      </c>
      <c r="B39" s="10" t="inlineStr">
        <is>
          <t>3-1/2X11-7/8 PSL/GLB</t>
        </is>
      </c>
      <c r="C39" s="9" t="n">
        <v>3.5</v>
      </c>
      <c r="D39" s="9" t="n">
        <v>11.875</v>
      </c>
      <c r="E39" s="9" t="n">
        <v>14</v>
      </c>
      <c r="F39" s="11" t="n">
        <v>18</v>
      </c>
      <c r="G39" s="11" t="n">
        <v>13</v>
      </c>
      <c r="H39" s="11" t="n">
        <v>252</v>
      </c>
      <c r="I39" s="11" t="n">
        <v>0</v>
      </c>
      <c r="J39" s="12" t="n">
        <v>3276</v>
      </c>
      <c r="K39" s="12" t="n">
        <v>3472.56</v>
      </c>
    </row>
    <row r="40">
      <c r="A40" s="9" t="inlineStr">
        <is>
          <t>LVL</t>
        </is>
      </c>
      <c r="B40" s="10" t="inlineStr">
        <is>
          <t>3-1/2X14 PSL/GLB</t>
        </is>
      </c>
      <c r="C40" s="9" t="n">
        <v>3.5</v>
      </c>
      <c r="D40" s="9" t="n">
        <v>14</v>
      </c>
      <c r="E40" s="9" t="n">
        <v>14</v>
      </c>
      <c r="F40" s="11" t="n">
        <v>2</v>
      </c>
      <c r="G40" s="11" t="n">
        <v>15.49</v>
      </c>
      <c r="H40" s="11" t="n">
        <v>28</v>
      </c>
      <c r="I40" s="11" t="n">
        <v>0</v>
      </c>
      <c r="J40" s="12" t="n">
        <v>433.72</v>
      </c>
      <c r="K40" s="12" t="n">
        <v>459.74</v>
      </c>
    </row>
    <row r="41">
      <c r="A41" s="13" t="inlineStr">
        <is>
          <t>LVL SUBTOTAL</t>
        </is>
      </c>
      <c r="B41" s="14" t="inlineStr"/>
      <c r="C41" s="14" t="inlineStr"/>
      <c r="D41" s="14" t="inlineStr"/>
      <c r="E41" s="14" t="inlineStr"/>
      <c r="F41" s="14">
        <f>SUM(F36:F40)</f>
        <v/>
      </c>
      <c r="G41" s="14" t="inlineStr"/>
      <c r="H41" s="14">
        <f>SUM(H36:H40)</f>
        <v/>
      </c>
      <c r="I41" s="14">
        <f>SUM(I36:I40)</f>
        <v/>
      </c>
      <c r="J41" s="15">
        <f>SUM(J36:J40)</f>
        <v/>
      </c>
      <c r="K41" s="15">
        <f>SUM(K36:K40)</f>
        <v/>
      </c>
    </row>
    <row r="42">
      <c r="A42" s="16" t="inlineStr">
        <is>
          <t>Each</t>
        </is>
      </c>
      <c r="B42" s="17" t="inlineStr">
        <is>
          <t>SUBFLOOR ADHESIVE</t>
        </is>
      </c>
      <c r="C42" s="16" t="inlineStr"/>
      <c r="D42" s="16" t="inlineStr"/>
      <c r="E42" s="16" t="inlineStr"/>
      <c r="F42" s="18" t="n">
        <v>515</v>
      </c>
      <c r="G42" s="18" t="n">
        <v>5.5</v>
      </c>
      <c r="H42" s="18" t="n">
        <v>0</v>
      </c>
      <c r="I42" s="18" t="n">
        <v>0</v>
      </c>
      <c r="J42" s="19" t="n">
        <v>2832.5</v>
      </c>
      <c r="K42" s="19" t="n">
        <v>3002.45</v>
      </c>
    </row>
    <row r="43">
      <c r="A43" s="16" t="inlineStr">
        <is>
          <t>Each</t>
        </is>
      </c>
      <c r="B43" s="17" t="inlineStr">
        <is>
          <t>4" Sill Sealer</t>
        </is>
      </c>
      <c r="C43" s="16" t="inlineStr"/>
      <c r="D43" s="16" t="inlineStr"/>
      <c r="E43" s="16" t="inlineStr"/>
      <c r="F43" s="18" t="n">
        <v>49</v>
      </c>
      <c r="G43" s="18" t="n">
        <v>7.25</v>
      </c>
      <c r="H43" s="18" t="n">
        <v>0</v>
      </c>
      <c r="I43" s="18" t="n">
        <v>0</v>
      </c>
      <c r="J43" s="19" t="n">
        <v>355.25</v>
      </c>
      <c r="K43" s="19" t="n">
        <v>376.56</v>
      </c>
    </row>
    <row r="44">
      <c r="A44" s="16" t="inlineStr">
        <is>
          <t>Each</t>
        </is>
      </c>
      <c r="B44" s="17" t="inlineStr">
        <is>
          <t>6" Sill Sealer</t>
        </is>
      </c>
      <c r="C44" s="16" t="inlineStr"/>
      <c r="D44" s="16" t="inlineStr"/>
      <c r="E44" s="16" t="inlineStr"/>
      <c r="F44" s="18" t="n">
        <v>58</v>
      </c>
      <c r="G44" s="18" t="n">
        <v>7.25</v>
      </c>
      <c r="H44" s="18" t="n">
        <v>0</v>
      </c>
      <c r="I44" s="18" t="n">
        <v>0</v>
      </c>
      <c r="J44" s="19" t="n">
        <v>420.5</v>
      </c>
      <c r="K44" s="19" t="n">
        <v>445.73</v>
      </c>
    </row>
    <row r="45">
      <c r="A45" s="16" t="inlineStr">
        <is>
          <t>Each</t>
        </is>
      </c>
      <c r="B45" s="17" t="inlineStr">
        <is>
          <t>8" Sill Sealer</t>
        </is>
      </c>
      <c r="C45" s="16" t="inlineStr"/>
      <c r="D45" s="16" t="inlineStr"/>
      <c r="E45" s="16" t="inlineStr"/>
      <c r="F45" s="18" t="n">
        <v>9</v>
      </c>
      <c r="G45" s="18" t="n">
        <v>7.25</v>
      </c>
      <c r="H45" s="18" t="n">
        <v>0</v>
      </c>
      <c r="I45" s="18" t="n">
        <v>0</v>
      </c>
      <c r="J45" s="19" t="n">
        <v>65.25</v>
      </c>
      <c r="K45" s="19" t="n">
        <v>69.17</v>
      </c>
    </row>
    <row r="46">
      <c r="A46" s="16" t="inlineStr">
        <is>
          <t>Each</t>
        </is>
      </c>
      <c r="B46" s="17" t="inlineStr">
        <is>
          <t>6" ZIP TAPE</t>
        </is>
      </c>
      <c r="C46" s="16" t="inlineStr"/>
      <c r="D46" s="16" t="inlineStr"/>
      <c r="E46" s="16" t="inlineStr"/>
      <c r="F46" s="18" t="n">
        <v>60</v>
      </c>
      <c r="G46" s="18" t="n">
        <v>42</v>
      </c>
      <c r="H46" s="18" t="n">
        <v>0</v>
      </c>
      <c r="I46" s="18" t="n">
        <v>0</v>
      </c>
      <c r="J46" s="19" t="n">
        <v>2520</v>
      </c>
      <c r="K46" s="19" t="n">
        <v>2671.2</v>
      </c>
    </row>
    <row r="47">
      <c r="A47" s="16" t="inlineStr">
        <is>
          <t>Each</t>
        </is>
      </c>
      <c r="B47" s="17" t="inlineStr">
        <is>
          <t>4" SEAM TAPE</t>
        </is>
      </c>
      <c r="C47" s="16" t="inlineStr"/>
      <c r="D47" s="16" t="inlineStr"/>
      <c r="E47" s="16" t="inlineStr"/>
      <c r="F47" s="18" t="n">
        <v>384</v>
      </c>
      <c r="G47" s="18" t="n">
        <v>26</v>
      </c>
      <c r="H47" s="18" t="n">
        <v>0</v>
      </c>
      <c r="I47" s="18" t="n">
        <v>0</v>
      </c>
      <c r="J47" s="19" t="n">
        <v>9984</v>
      </c>
      <c r="K47" s="19" t="n">
        <v>10583.04</v>
      </c>
    </row>
    <row r="48">
      <c r="A48" s="16" t="inlineStr">
        <is>
          <t>Each</t>
        </is>
      </c>
      <c r="B48" s="17" t="inlineStr">
        <is>
          <t>6" CORNER FLASHING ZIP</t>
        </is>
      </c>
      <c r="C48" s="16" t="inlineStr"/>
      <c r="D48" s="16" t="inlineStr"/>
      <c r="E48" s="16" t="inlineStr"/>
      <c r="F48" s="18" t="n">
        <v>28</v>
      </c>
      <c r="G48" s="18" t="n">
        <v>35</v>
      </c>
      <c r="H48" s="18" t="n">
        <v>0</v>
      </c>
      <c r="I48" s="18" t="n">
        <v>0</v>
      </c>
      <c r="J48" s="19" t="n">
        <v>980</v>
      </c>
      <c r="K48" s="19" t="n">
        <v>1038.8</v>
      </c>
    </row>
    <row r="49">
      <c r="A49" s="16" t="inlineStr">
        <is>
          <t>Each</t>
        </is>
      </c>
      <c r="B49" s="17" t="inlineStr">
        <is>
          <t>9" CORNER FLASHING ZIP</t>
        </is>
      </c>
      <c r="C49" s="16" t="inlineStr"/>
      <c r="D49" s="16" t="inlineStr"/>
      <c r="E49" s="16" t="inlineStr"/>
      <c r="F49" s="18" t="n">
        <v>105</v>
      </c>
      <c r="G49" s="18" t="n">
        <v>47</v>
      </c>
      <c r="H49" s="18" t="n">
        <v>0</v>
      </c>
      <c r="I49" s="18" t="n">
        <v>0</v>
      </c>
      <c r="J49" s="19" t="n">
        <v>4935</v>
      </c>
      <c r="K49" s="19" t="n">
        <v>5231.1</v>
      </c>
    </row>
    <row r="50">
      <c r="A50" s="20" t="inlineStr">
        <is>
          <t>EACH SUBTOTAL</t>
        </is>
      </c>
      <c r="B50" s="21" t="inlineStr"/>
      <c r="C50" s="21" t="inlineStr"/>
      <c r="D50" s="21" t="inlineStr"/>
      <c r="E50" s="21" t="inlineStr"/>
      <c r="F50" s="21">
        <f>SUM(F42:F49)</f>
        <v/>
      </c>
      <c r="G50" s="21" t="inlineStr"/>
      <c r="H50" s="21">
        <f>SUM(H42:H49)</f>
        <v/>
      </c>
      <c r="I50" s="21">
        <f>SUM(I42:I49)</f>
        <v/>
      </c>
      <c r="J50" s="22">
        <f>SUM(J42:J49)</f>
        <v/>
      </c>
      <c r="K50" s="22">
        <f>SUM(K42:K49)</f>
        <v/>
      </c>
    </row>
    <row r="51">
      <c r="A51" s="23" t="inlineStr">
        <is>
          <t>Panels</t>
        </is>
      </c>
      <c r="B51" s="24" t="inlineStr">
        <is>
          <t>7/16" ZIP</t>
        </is>
      </c>
      <c r="C51" s="23" t="n">
        <v>4</v>
      </c>
      <c r="D51" s="23" t="n">
        <v>8</v>
      </c>
      <c r="E51" s="23" t="inlineStr"/>
      <c r="F51" s="25" t="n">
        <v>1904</v>
      </c>
      <c r="G51" s="25" t="n">
        <v>595</v>
      </c>
      <c r="H51" s="25" t="n">
        <v>0</v>
      </c>
      <c r="I51" s="25" t="n">
        <v>60928</v>
      </c>
      <c r="J51" s="26" t="n">
        <v>36252.16</v>
      </c>
      <c r="K51" s="26" t="n">
        <v>38427.29</v>
      </c>
    </row>
    <row r="52">
      <c r="A52" s="23" t="inlineStr">
        <is>
          <t>Panels</t>
        </is>
      </c>
      <c r="B52" s="24" t="inlineStr">
        <is>
          <t>15/32" OSB</t>
        </is>
      </c>
      <c r="C52" s="23" t="n">
        <v>4</v>
      </c>
      <c r="D52" s="23" t="n">
        <v>8</v>
      </c>
      <c r="E52" s="23" t="inlineStr"/>
      <c r="F52" s="25" t="n">
        <v>1036</v>
      </c>
      <c r="G52" s="25" t="n">
        <v>395</v>
      </c>
      <c r="H52" s="25" t="n">
        <v>0</v>
      </c>
      <c r="I52" s="25" t="n">
        <v>33152</v>
      </c>
      <c r="J52" s="26" t="n">
        <v>13095.04</v>
      </c>
      <c r="K52" s="26" t="n">
        <v>13880.74</v>
      </c>
    </row>
    <row r="53">
      <c r="A53" s="23" t="inlineStr">
        <is>
          <t>Panels</t>
        </is>
      </c>
      <c r="B53" s="24" t="inlineStr">
        <is>
          <t>15/32" PLY</t>
        </is>
      </c>
      <c r="C53" s="23" t="n">
        <v>4</v>
      </c>
      <c r="D53" s="23" t="n">
        <v>8</v>
      </c>
      <c r="E53" s="23" t="inlineStr"/>
      <c r="F53" s="25" t="n">
        <v>497</v>
      </c>
      <c r="G53" s="25" t="n">
        <v>395</v>
      </c>
      <c r="H53" s="25" t="n">
        <v>0</v>
      </c>
      <c r="I53" s="25" t="n">
        <v>15904</v>
      </c>
      <c r="J53" s="26" t="n">
        <v>6282.08</v>
      </c>
      <c r="K53" s="26" t="n">
        <v>6659</v>
      </c>
    </row>
    <row r="54">
      <c r="A54" s="23" t="inlineStr">
        <is>
          <t>Panels</t>
        </is>
      </c>
      <c r="B54" s="24" t="inlineStr">
        <is>
          <t>23/32" OSB T&amp;G</t>
        </is>
      </c>
      <c r="C54" s="23" t="n">
        <v>4</v>
      </c>
      <c r="D54" s="23" t="n">
        <v>8</v>
      </c>
      <c r="E54" s="23" t="inlineStr"/>
      <c r="F54" s="25" t="n">
        <v>917</v>
      </c>
      <c r="G54" s="25" t="n">
        <v>525</v>
      </c>
      <c r="H54" s="25" t="n">
        <v>0</v>
      </c>
      <c r="I54" s="25" t="n">
        <v>29344</v>
      </c>
      <c r="J54" s="26" t="n">
        <v>15405.6</v>
      </c>
      <c r="K54" s="26" t="n">
        <v>16329.94</v>
      </c>
    </row>
    <row r="55">
      <c r="A55" s="23" t="inlineStr">
        <is>
          <t>Panels</t>
        </is>
      </c>
      <c r="B55" s="24" t="inlineStr">
        <is>
          <t>23/32" OSB T&amp;G - PT</t>
        </is>
      </c>
      <c r="C55" s="23" t="n">
        <v>4</v>
      </c>
      <c r="D55" s="23" t="n">
        <v>8</v>
      </c>
      <c r="E55" s="23" t="inlineStr"/>
      <c r="F55" s="25" t="n">
        <v>94</v>
      </c>
      <c r="G55" s="25" t="n">
        <v>1285</v>
      </c>
      <c r="H55" s="25" t="n">
        <v>0</v>
      </c>
      <c r="I55" s="25" t="n">
        <v>3008</v>
      </c>
      <c r="J55" s="26" t="n">
        <v>3865.28</v>
      </c>
      <c r="K55" s="26" t="n">
        <v>4097.2</v>
      </c>
    </row>
    <row r="56">
      <c r="A56" s="23" t="inlineStr">
        <is>
          <t>Panels</t>
        </is>
      </c>
      <c r="B56" s="24" t="inlineStr">
        <is>
          <t>1/2" ZIP</t>
        </is>
      </c>
      <c r="C56" s="23" t="n">
        <v>4</v>
      </c>
      <c r="D56" s="23" t="n">
        <v>8</v>
      </c>
      <c r="E56" s="23" t="inlineStr"/>
      <c r="F56" s="25" t="n">
        <v>165</v>
      </c>
      <c r="G56" s="25" t="n">
        <v>655</v>
      </c>
      <c r="H56" s="25" t="n">
        <v>0</v>
      </c>
      <c r="I56" s="25" t="n">
        <v>5280</v>
      </c>
      <c r="J56" s="26" t="n">
        <v>3458.4</v>
      </c>
      <c r="K56" s="26" t="n">
        <v>3665.9</v>
      </c>
    </row>
    <row r="57">
      <c r="A57" s="23" t="inlineStr">
        <is>
          <t>Panels</t>
        </is>
      </c>
      <c r="B57" s="24" t="inlineStr">
        <is>
          <t>15/32" PLY</t>
        </is>
      </c>
      <c r="C57" s="23" t="n">
        <v>4</v>
      </c>
      <c r="D57" s="23" t="n">
        <v>8</v>
      </c>
      <c r="E57" s="23" t="inlineStr"/>
      <c r="F57" s="25" t="n">
        <v>981</v>
      </c>
      <c r="G57" s="25" t="n">
        <v>655</v>
      </c>
      <c r="H57" s="25" t="n">
        <v>0</v>
      </c>
      <c r="I57" s="25" t="n">
        <v>31392</v>
      </c>
      <c r="J57" s="26" t="n">
        <v>20561.76</v>
      </c>
      <c r="K57" s="26" t="n">
        <v>21795.47</v>
      </c>
    </row>
    <row r="58">
      <c r="A58" s="23" t="inlineStr">
        <is>
          <t>Panels</t>
        </is>
      </c>
      <c r="B58" s="24" t="inlineStr">
        <is>
          <t>1/2" GYPSUM</t>
        </is>
      </c>
      <c r="C58" s="23" t="n">
        <v>4</v>
      </c>
      <c r="D58" s="23" t="n">
        <v>8</v>
      </c>
      <c r="E58" s="23" t="inlineStr"/>
      <c r="F58" s="25" t="n">
        <v>323</v>
      </c>
      <c r="G58" s="25" t="n">
        <v>565</v>
      </c>
      <c r="H58" s="25" t="n">
        <v>0</v>
      </c>
      <c r="I58" s="25" t="n">
        <v>10336</v>
      </c>
      <c r="J58" s="26" t="n">
        <v>5839.84</v>
      </c>
      <c r="K58" s="26" t="n">
        <v>6190.23</v>
      </c>
    </row>
    <row r="59">
      <c r="A59" s="27" t="inlineStr">
        <is>
          <t>PANELS SUBTOTAL</t>
        </is>
      </c>
      <c r="B59" s="28" t="inlineStr"/>
      <c r="C59" s="28" t="inlineStr"/>
      <c r="D59" s="28" t="inlineStr"/>
      <c r="E59" s="28" t="inlineStr"/>
      <c r="F59" s="28">
        <f>SUM(F51:F58)</f>
        <v/>
      </c>
      <c r="G59" s="28" t="inlineStr"/>
      <c r="H59" s="28">
        <f>SUM(H51:H58)</f>
        <v/>
      </c>
      <c r="I59" s="28">
        <f>SUM(I51:I58)</f>
        <v/>
      </c>
      <c r="J59" s="29">
        <f>SUM(J51:J58)</f>
        <v/>
      </c>
      <c r="K59" s="29">
        <f>SUM(K51:K58)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2026-06-18T00:40:07Z</dcterms:created>
  <dcterms:modified xsi:type="dcterms:W3CDTF">2026-06-18T00:40:07Z</dcterms:modified>
</cp:coreProperties>
</file>