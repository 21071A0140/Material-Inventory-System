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Change Orders" sheetId="2" state="visible" r:id="rId2"/>
    <sheet name="Inv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DEEFF"/>
      </patternFill>
    </fill>
    <fill>
      <patternFill patternType="solid">
        <fgColor rgb="00AACC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4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7" customWidth="1" min="3" max="3"/>
    <col width="6" customWidth="1" min="4" max="4"/>
    <col width="7" customWidth="1" min="5" max="5"/>
    <col width="9" customWidth="1" min="6" max="6"/>
    <col width="9" customWidth="1" min="7" max="7"/>
    <col width="9" customWidth="1" min="8" max="8"/>
    <col width="11" customWidth="1" min="9" max="9"/>
    <col width="12" customWidth="1" min="10" max="10"/>
    <col width="12" customWidth="1" min="11" max="11"/>
    <col width="14" customWidth="1" min="12" max="12"/>
    <col width="14" customWidth="1" min="13" max="13"/>
    <col width="18" customWidth="1" min="14" max="14"/>
    <col width="13" customWidth="1" min="15" max="15"/>
    <col width="12" customWidth="1" min="16" max="16"/>
    <col width="12" customWidth="1" min="17" max="17"/>
    <col width="14" customWidth="1" min="18" max="18"/>
    <col width="15" customWidth="1" min="19" max="19"/>
    <col width="12" customWidth="1" min="20" max="20"/>
    <col width="12" customWidth="1" min="21" max="21"/>
    <col width="12" customWidth="1" min="22" max="22"/>
    <col width="14" customWidth="1" min="23" max="23"/>
    <col width="15" customWidth="1" min="24" max="24"/>
    <col width="14" customWidth="1" min="25" max="25"/>
    <col width="14" customWidth="1" min="26" max="26"/>
    <col width="14" customWidth="1" min="27" max="27"/>
  </cols>
  <sheetData>
    <row r="1" ht="44" customHeight="1">
      <c r="A1" s="1" t="inlineStr">
        <is>
          <t>Type</t>
        </is>
      </c>
      <c r="B1" s="1" t="inlineStr">
        <is>
          <t>Description</t>
        </is>
      </c>
      <c r="C1" s="1" t="inlineStr">
        <is>
          <t>T</t>
        </is>
      </c>
      <c r="D1" s="1" t="inlineStr">
        <is>
          <t>W</t>
        </is>
      </c>
      <c r="E1" s="1" t="inlineStr">
        <is>
          <t>Length</t>
        </is>
      </c>
      <c r="F1" s="1" t="inlineStr">
        <is>
          <t>PO Qty</t>
        </is>
      </c>
      <c r="G1" s="1" t="inlineStr">
        <is>
          <t>CO Qty</t>
        </is>
      </c>
      <c r="H1" s="1" t="inlineStr">
        <is>
          <t>PO+CO Qty</t>
        </is>
      </c>
      <c r="I1" s="1" t="inlineStr">
        <is>
          <t>Unit Cost</t>
        </is>
      </c>
      <c r="J1" s="1" t="inlineStr">
        <is>
          <t>LF (Linear Ft)</t>
        </is>
      </c>
      <c r="K1" s="1" t="inlineStr">
        <is>
          <t>BF/SF</t>
        </is>
      </c>
      <c r="L1" s="1" t="inlineStr">
        <is>
          <t>Total Cost</t>
        </is>
      </c>
      <c r="M1" s="1" t="inlineStr">
        <is>
          <t>Total Cost+Tax</t>
        </is>
      </c>
      <c r="N1" s="1" t="inlineStr">
        <is>
          <t>Invoice #</t>
        </is>
      </c>
      <c r="O1" s="1" t="inlineStr">
        <is>
          <t>Total Delivered</t>
        </is>
      </c>
      <c r="P1" s="1" t="inlineStr">
        <is>
          <t>Delivered LF</t>
        </is>
      </c>
      <c r="Q1" s="1" t="inlineStr">
        <is>
          <t>Delivered BF/SF</t>
        </is>
      </c>
      <c r="R1" s="1" t="inlineStr">
        <is>
          <t>Delivered Cost</t>
        </is>
      </c>
      <c r="S1" s="1" t="inlineStr">
        <is>
          <t>Delivered Cost+Tax</t>
        </is>
      </c>
      <c r="T1" s="1" t="inlineStr">
        <is>
          <t>Remaining Qty</t>
        </is>
      </c>
      <c r="U1" s="1" t="inlineStr">
        <is>
          <t>Remaining LF</t>
        </is>
      </c>
      <c r="V1" s="1" t="inlineStr">
        <is>
          <t>Remaining BF/SF</t>
        </is>
      </c>
      <c r="W1" s="1" t="inlineStr">
        <is>
          <t>Remaining Cost</t>
        </is>
      </c>
      <c r="X1" s="1" t="inlineStr">
        <is>
          <t>Remaining Cost+Tax</t>
        </is>
      </c>
      <c r="Y1" s="1" t="inlineStr">
        <is>
          <t>Leftover LF (Site)</t>
        </is>
      </c>
      <c r="Z1" s="1" t="inlineStr">
        <is>
          <t>Material Used LF</t>
        </is>
      </c>
      <c r="AA1" s="1" t="inlineStr">
        <is>
          <t>Material Used Cost</t>
        </is>
      </c>
    </row>
    <row r="2">
      <c r="A2" s="2" t="inlineStr">
        <is>
          <t>Lumber</t>
        </is>
      </c>
      <c r="B2" s="3" t="inlineStr">
        <is>
          <t>2x6x12 SYP #2</t>
        </is>
      </c>
      <c r="C2" s="2" t="n">
        <v>2</v>
      </c>
      <c r="D2" s="2" t="n">
        <v>6</v>
      </c>
      <c r="E2" s="2" t="n">
        <v>12</v>
      </c>
      <c r="F2" s="4" t="n">
        <v>100</v>
      </c>
      <c r="G2" s="4" t="n">
        <v>20</v>
      </c>
      <c r="H2" s="4">
        <f>F2+G2</f>
        <v/>
      </c>
      <c r="I2" s="5" t="n">
        <v>0</v>
      </c>
      <c r="J2" s="5">
        <f>H2*12.0</f>
        <v/>
      </c>
      <c r="K2" s="5">
        <f>(H2*2.0*6.0*12.0)/12</f>
        <v/>
      </c>
      <c r="L2" s="6">
        <f>(K2*I2)/1000</f>
        <v/>
      </c>
      <c r="M2" s="6">
        <f>L2*1.06</f>
        <v/>
      </c>
      <c r="N2" s="2" t="inlineStr"/>
      <c r="O2" s="4" t="n">
        <v>0</v>
      </c>
      <c r="P2" s="5">
        <f>O2*12.0</f>
        <v/>
      </c>
      <c r="Q2" s="5">
        <f>(O2*2.0*6.0*12.0)/12</f>
        <v/>
      </c>
      <c r="R2" s="6">
        <f>(Q2*I2)/1000</f>
        <v/>
      </c>
      <c r="S2" s="6">
        <f>R2*1.06</f>
        <v/>
      </c>
      <c r="T2" s="4">
        <f>H2-O2</f>
        <v/>
      </c>
      <c r="U2" s="5">
        <f>T2*12.0</f>
        <v/>
      </c>
      <c r="V2" s="5">
        <f>(T2*2.0*6.0*12.0)/12</f>
        <v/>
      </c>
      <c r="W2" s="6">
        <f>(V2*I2)/1000</f>
        <v/>
      </c>
      <c r="X2" s="6">
        <f>W2*1.06</f>
        <v/>
      </c>
      <c r="Y2" s="5" t="n">
        <v>0</v>
      </c>
      <c r="Z2" s="5">
        <f>P2-Y2</f>
        <v/>
      </c>
      <c r="AA2" s="6">
        <f>((Z2*2.0*6.0)/12*I2)/1000</f>
        <v/>
      </c>
    </row>
    <row r="3" ht="18" customHeight="1">
      <c r="A3" s="7" t="inlineStr">
        <is>
          <t>LUMBER SUBTOTAL</t>
        </is>
      </c>
      <c r="B3" s="8" t="inlineStr"/>
      <c r="C3" s="8" t="inlineStr"/>
      <c r="D3" s="8" t="inlineStr"/>
      <c r="E3" s="8" t="inlineStr"/>
      <c r="F3" s="9">
        <f>SUM(F2:F2)</f>
        <v/>
      </c>
      <c r="G3" s="9">
        <f>SUM(G2:G2)</f>
        <v/>
      </c>
      <c r="H3" s="9">
        <f>SUM(H2:H2)</f>
        <v/>
      </c>
      <c r="I3" s="8" t="inlineStr"/>
      <c r="J3" s="10">
        <f>SUM(J2:J2)</f>
        <v/>
      </c>
      <c r="K3" s="10">
        <f>SUM(K2:K2)</f>
        <v/>
      </c>
      <c r="L3" s="11">
        <f>SUM(L2:L2)</f>
        <v/>
      </c>
      <c r="M3" s="11">
        <f>SUM(M2:M2)</f>
        <v/>
      </c>
      <c r="N3" s="8" t="inlineStr"/>
      <c r="O3" s="9">
        <f>SUM(O2:O2)</f>
        <v/>
      </c>
      <c r="P3" s="10">
        <f>SUM(P2:P2)</f>
        <v/>
      </c>
      <c r="Q3" s="10">
        <f>SUM(Q2:Q2)</f>
        <v/>
      </c>
      <c r="R3" s="11">
        <f>SUM(R2:R2)</f>
        <v/>
      </c>
      <c r="S3" s="11">
        <f>SUM(S2:S2)</f>
        <v/>
      </c>
      <c r="T3" s="9">
        <f>SUM(T2:T2)</f>
        <v/>
      </c>
      <c r="U3" s="10">
        <f>SUM(U2:U2)</f>
        <v/>
      </c>
      <c r="V3" s="10">
        <f>SUM(V2:V2)</f>
        <v/>
      </c>
      <c r="W3" s="11">
        <f>SUM(W2:W2)</f>
        <v/>
      </c>
      <c r="X3" s="11">
        <f>SUM(X2:X2)</f>
        <v/>
      </c>
      <c r="Y3" s="10">
        <f>SUM(Y2:Y2)</f>
        <v/>
      </c>
      <c r="Z3" s="10">
        <f>SUM(Z2:Z2)</f>
        <v/>
      </c>
      <c r="AA3" s="11">
        <f>SUM(AA2:AA2)</f>
        <v/>
      </c>
    </row>
    <row r="4" ht="5" customHeight="1"/>
    <row r="5" ht="22" customHeight="1">
      <c r="A5" s="12" t="inlineStr">
        <is>
          <t>GRAND TOTAL</t>
        </is>
      </c>
      <c r="B5" s="13" t="inlineStr"/>
      <c r="C5" s="13" t="inlineStr"/>
      <c r="D5" s="13" t="inlineStr"/>
      <c r="E5" s="13" t="inlineStr"/>
      <c r="F5" s="14">
        <f>F3</f>
        <v/>
      </c>
      <c r="G5" s="14">
        <f>G3</f>
        <v/>
      </c>
      <c r="H5" s="14">
        <f>H3</f>
        <v/>
      </c>
      <c r="I5" s="13" t="inlineStr"/>
      <c r="J5" s="15">
        <f>J3</f>
        <v/>
      </c>
      <c r="K5" s="15">
        <f>K3</f>
        <v/>
      </c>
      <c r="L5" s="16">
        <f>L3</f>
        <v/>
      </c>
      <c r="M5" s="16">
        <f>M3</f>
        <v/>
      </c>
      <c r="N5" s="13" t="inlineStr"/>
      <c r="O5" s="14">
        <f>O3</f>
        <v/>
      </c>
      <c r="P5" s="15">
        <f>P3</f>
        <v/>
      </c>
      <c r="Q5" s="15">
        <f>Q3</f>
        <v/>
      </c>
      <c r="R5" s="16">
        <f>R3</f>
        <v/>
      </c>
      <c r="S5" s="16">
        <f>S3</f>
        <v/>
      </c>
      <c r="T5" s="14">
        <f>T3</f>
        <v/>
      </c>
      <c r="U5" s="15">
        <f>U3</f>
        <v/>
      </c>
      <c r="V5" s="15">
        <f>V3</f>
        <v/>
      </c>
      <c r="W5" s="16">
        <f>W3</f>
        <v/>
      </c>
      <c r="X5" s="16">
        <f>X3</f>
        <v/>
      </c>
      <c r="Y5" s="15">
        <f>Y3</f>
        <v/>
      </c>
      <c r="Z5" s="15">
        <f>Z3</f>
        <v/>
      </c>
      <c r="AA5" s="16">
        <f>AA3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34" customWidth="1" min="4" max="4"/>
    <col width="6" customWidth="1" min="5" max="5"/>
    <col width="6" customWidth="1" min="6" max="6"/>
    <col width="6" customWidth="1" min="7" max="7"/>
    <col width="10" customWidth="1" min="8" max="8"/>
    <col width="11" customWidth="1" min="9" max="9"/>
    <col width="12" customWidth="1" min="10" max="10"/>
    <col width="10" customWidth="1" min="11" max="11"/>
    <col width="10" customWidth="1" min="12" max="12"/>
    <col width="14" customWidth="1" min="13" max="13"/>
    <col width="14" customWidth="1" min="14" max="14"/>
    <col width="16" customWidth="1" min="15" max="15"/>
    <col width="28" customWidth="1" min="16" max="16"/>
  </cols>
  <sheetData>
    <row r="1" ht="30" customHeight="1">
      <c r="A1" s="1" t="inlineStr">
        <is>
          <t>CO #</t>
        </is>
      </c>
      <c r="B1" s="1" t="inlineStr">
        <is>
          <t>CO Date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T</t>
        </is>
      </c>
      <c r="F1" s="1" t="inlineStr">
        <is>
          <t>W</t>
        </is>
      </c>
      <c r="G1" s="1" t="inlineStr">
        <is>
          <t>Len</t>
        </is>
      </c>
      <c r="H1" s="1" t="inlineStr">
        <is>
          <t>Qty Change</t>
        </is>
      </c>
      <c r="I1" s="1" t="inlineStr">
        <is>
          <t>Unit Cost</t>
        </is>
      </c>
      <c r="J1" s="1" t="inlineStr">
        <is>
          <t>Footage/SF</t>
        </is>
      </c>
      <c r="K1" s="1" t="inlineStr">
        <is>
          <t>LF</t>
        </is>
      </c>
      <c r="L1" s="1" t="inlineStr">
        <is>
          <t>BF/SF</t>
        </is>
      </c>
      <c r="M1" s="1" t="inlineStr">
        <is>
          <t>Amount</t>
        </is>
      </c>
      <c r="N1" s="1" t="inlineStr">
        <is>
          <t>Amount+Tax</t>
        </is>
      </c>
      <c r="O1" s="1" t="inlineStr">
        <is>
          <t>Action</t>
        </is>
      </c>
      <c r="P1" s="1" t="inlineStr">
        <is>
          <t>Matched PO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10" customWidth="1" min="4" max="4"/>
    <col width="6" customWidth="1" min="5" max="5"/>
    <col width="6" customWidth="1" min="6" max="6"/>
    <col width="8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 ht="30" customHeight="1">
      <c r="A1" s="1" t="inlineStr">
        <is>
          <t>Invoice #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T</t>
        </is>
      </c>
      <c r="F1" s="1" t="inlineStr">
        <is>
          <t>W</t>
        </is>
      </c>
      <c r="G1" s="1" t="inlineStr">
        <is>
          <t>Length</t>
        </is>
      </c>
      <c r="H1" s="1" t="inlineStr">
        <is>
          <t>Qty Delivered</t>
        </is>
      </c>
      <c r="I1" s="1" t="inlineStr">
        <is>
          <t>Delivered LF</t>
        </is>
      </c>
      <c r="J1" s="1" t="inlineStr">
        <is>
          <t>Delivered BF/SF</t>
        </is>
      </c>
      <c r="K1" s="1" t="inlineStr">
        <is>
          <t>Delivered Cost</t>
        </is>
      </c>
      <c r="L1" s="1" t="inlineStr">
        <is>
          <t>Delivered Cost+Tax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2026-06-01T17:17:13Z</dcterms:created>
  <dcterms:modified xsi:type="dcterms:W3CDTF">2026-06-01T17:17:13Z</dcterms:modified>
</cp:coreProperties>
</file>