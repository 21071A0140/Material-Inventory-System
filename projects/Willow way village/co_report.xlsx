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3CD"/>
      </patternFill>
    </fill>
    <fill>
      <patternFill patternType="solid">
        <fgColor rgb="00DDEEFF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LF</t>
        </is>
      </c>
      <c r="K1" s="1" t="inlineStr">
        <is>
          <t>BF/SF</t>
        </is>
      </c>
      <c r="L1" s="1" t="inlineStr">
        <is>
          <t>Cost</t>
        </is>
      </c>
      <c r="M1" s="1" t="inlineStr">
        <is>
          <t>Cost+Tax</t>
        </is>
      </c>
      <c r="N1" s="1" t="inlineStr">
        <is>
          <t>Action</t>
        </is>
      </c>
      <c r="O1" s="1" t="inlineStr">
        <is>
          <t>Matched PO Item</t>
        </is>
      </c>
    </row>
    <row r="2">
      <c r="A2" s="2" t="inlineStr">
        <is>
          <t>001</t>
        </is>
      </c>
      <c r="B2" s="2" t="inlineStr">
        <is>
          <t>2025-02-11</t>
        </is>
      </c>
      <c r="C2" s="2" t="inlineStr">
        <is>
          <t>Panels</t>
        </is>
      </c>
      <c r="D2" s="3" t="inlineStr">
        <is>
          <t>15/32" 4X8 OSB</t>
        </is>
      </c>
      <c r="E2" s="2" t="n">
        <v>0.46875</v>
      </c>
      <c r="F2" s="2" t="n">
        <v>8</v>
      </c>
      <c r="G2" s="2" t="inlineStr"/>
      <c r="H2" s="4" t="n">
        <v>-981</v>
      </c>
      <c r="I2" s="5" t="n">
        <v>395</v>
      </c>
      <c r="J2" s="6" t="n">
        <v>-0</v>
      </c>
      <c r="K2" s="6" t="n">
        <v>-31392</v>
      </c>
      <c r="L2" s="5" t="n">
        <v>-12399.84</v>
      </c>
      <c r="M2" s="5" t="n">
        <v>-13143.83</v>
      </c>
      <c r="N2" s="3" t="inlineStr">
        <is>
          <t>update_po_qty</t>
        </is>
      </c>
      <c r="O2" s="3" t="inlineStr">
        <is>
          <t>15/32" OSB</t>
        </is>
      </c>
    </row>
    <row r="3">
      <c r="A3" s="2" t="inlineStr">
        <is>
          <t>001</t>
        </is>
      </c>
      <c r="B3" s="2" t="inlineStr">
        <is>
          <t>2025-02-11</t>
        </is>
      </c>
      <c r="C3" s="2" t="inlineStr">
        <is>
          <t>Panels</t>
        </is>
      </c>
      <c r="D3" s="3" t="inlineStr">
        <is>
          <t>19/32" 4X8 PLYWOOD</t>
        </is>
      </c>
      <c r="E3" s="2" t="n">
        <v>0.59375</v>
      </c>
      <c r="F3" s="2" t="n">
        <v>8</v>
      </c>
      <c r="G3" s="2" t="inlineStr"/>
      <c r="H3" s="4" t="n">
        <v>981</v>
      </c>
      <c r="I3" s="5" t="n">
        <v>855</v>
      </c>
      <c r="J3" s="6" t="n">
        <v>0</v>
      </c>
      <c r="K3" s="6" t="n">
        <v>31392</v>
      </c>
      <c r="L3" s="5" t="n">
        <v>26840.16</v>
      </c>
      <c r="M3" s="5" t="n">
        <v>28450.57</v>
      </c>
      <c r="N3" s="3" t="inlineStr">
        <is>
          <t>add_new</t>
        </is>
      </c>
      <c r="O3" s="3" t="inlineStr">
        <is>
          <t>NEW</t>
        </is>
      </c>
    </row>
    <row r="4">
      <c r="A4" s="2" t="inlineStr">
        <is>
          <t>001</t>
        </is>
      </c>
      <c r="B4" s="2" t="inlineStr">
        <is>
          <t>2025-02-11</t>
        </is>
      </c>
      <c r="C4" s="2" t="inlineStr">
        <is>
          <t>Panels</t>
        </is>
      </c>
      <c r="D4" s="3" t="inlineStr">
        <is>
          <t>15/32" 4X8 PLYWOOD PT</t>
        </is>
      </c>
      <c r="E4" s="2" t="n">
        <v>0.46875</v>
      </c>
      <c r="F4" s="2" t="n">
        <v>8</v>
      </c>
      <c r="G4" s="2" t="inlineStr"/>
      <c r="H4" s="4" t="n">
        <v>325</v>
      </c>
      <c r="I4" s="5" t="n">
        <v>1055</v>
      </c>
      <c r="J4" s="6" t="n">
        <v>0</v>
      </c>
      <c r="K4" s="6" t="n">
        <v>10400</v>
      </c>
      <c r="L4" s="5" t="n">
        <v>10972</v>
      </c>
      <c r="M4" s="5" t="n">
        <v>11630.32</v>
      </c>
      <c r="N4" s="3" t="inlineStr">
        <is>
          <t>add_new</t>
        </is>
      </c>
      <c r="O4" s="3" t="inlineStr">
        <is>
          <t>NEW</t>
        </is>
      </c>
    </row>
    <row r="5">
      <c r="A5" s="7" t="inlineStr">
        <is>
          <t>CO #001 SUBTOTAL</t>
        </is>
      </c>
      <c r="B5" s="8" t="inlineStr"/>
      <c r="C5" s="8" t="inlineStr"/>
      <c r="D5" s="8" t="inlineStr"/>
      <c r="E5" s="8" t="inlineStr"/>
      <c r="F5" s="8" t="inlineStr"/>
      <c r="G5" s="8" t="inlineStr"/>
      <c r="H5" s="8">
        <f>SUM(H2:H4)</f>
        <v/>
      </c>
      <c r="I5" s="8" t="inlineStr"/>
      <c r="J5" s="9">
        <f>SUM(J2:J4)</f>
        <v/>
      </c>
      <c r="K5" s="9">
        <f>SUM(K2:K4)</f>
        <v/>
      </c>
      <c r="L5" s="10">
        <f>SUM(L2:L4)</f>
        <v/>
      </c>
      <c r="M5" s="10">
        <f>SUM(M2:M4)</f>
        <v/>
      </c>
      <c r="N5" s="8" t="inlineStr"/>
      <c r="O5" s="8" t="inlineStr"/>
    </row>
    <row r="7">
      <c r="A7" s="2" t="inlineStr">
        <is>
          <t>002</t>
        </is>
      </c>
      <c r="B7" s="2" t="inlineStr">
        <is>
          <t>2025-02-11</t>
        </is>
      </c>
      <c r="C7" s="2" t="inlineStr">
        <is>
          <t>Panels</t>
        </is>
      </c>
      <c r="D7" s="3" t="inlineStr">
        <is>
          <t>23/32" 4X8 OSB T&amp;G</t>
        </is>
      </c>
      <c r="E7" s="2" t="n">
        <v>0.71875</v>
      </c>
      <c r="F7" s="2" t="n">
        <v>8</v>
      </c>
      <c r="G7" s="2" t="inlineStr"/>
      <c r="H7" s="4" t="n">
        <v>-917</v>
      </c>
      <c r="I7" s="5" t="n">
        <v>525</v>
      </c>
      <c r="J7" s="6" t="n">
        <v>-0</v>
      </c>
      <c r="K7" s="6" t="n">
        <v>-29344</v>
      </c>
      <c r="L7" s="5" t="n">
        <v>-15405.6</v>
      </c>
      <c r="M7" s="5" t="n">
        <v>-16329.94</v>
      </c>
      <c r="N7" s="3" t="inlineStr">
        <is>
          <t>update_po_qty</t>
        </is>
      </c>
      <c r="O7" s="3" t="inlineStr">
        <is>
          <t>23/32" OSB T&amp;G</t>
        </is>
      </c>
    </row>
    <row r="8">
      <c r="A8" s="2" t="inlineStr">
        <is>
          <t>002</t>
        </is>
      </c>
      <c r="B8" s="2" t="inlineStr">
        <is>
          <t>2025-02-11</t>
        </is>
      </c>
      <c r="C8" s="2" t="inlineStr">
        <is>
          <t>Panels</t>
        </is>
      </c>
      <c r="D8" s="3" t="inlineStr">
        <is>
          <t>23/32" 4X8 OSB T&amp;G ADVANTECH</t>
        </is>
      </c>
      <c r="E8" s="2" t="n">
        <v>0.71875</v>
      </c>
      <c r="F8" s="2" t="n">
        <v>8</v>
      </c>
      <c r="G8" s="2" t="inlineStr"/>
      <c r="H8" s="4" t="n">
        <v>917</v>
      </c>
      <c r="I8" s="5" t="n">
        <v>1015</v>
      </c>
      <c r="J8" s="6" t="n">
        <v>0</v>
      </c>
      <c r="K8" s="6" t="n">
        <v>29344</v>
      </c>
      <c r="L8" s="5" t="n">
        <v>29784.16</v>
      </c>
      <c r="M8" s="5" t="n">
        <v>31571.21</v>
      </c>
      <c r="N8" s="3" t="inlineStr">
        <is>
          <t>add_new</t>
        </is>
      </c>
      <c r="O8" s="3" t="inlineStr">
        <is>
          <t>NEW</t>
        </is>
      </c>
    </row>
    <row r="9">
      <c r="A9" s="7" t="inlineStr">
        <is>
          <t>CO #002 SUBTOTAL</t>
        </is>
      </c>
      <c r="B9" s="8" t="inlineStr"/>
      <c r="C9" s="8" t="inlineStr"/>
      <c r="D9" s="8" t="inlineStr"/>
      <c r="E9" s="8" t="inlineStr"/>
      <c r="F9" s="8" t="inlineStr"/>
      <c r="G9" s="8" t="inlineStr"/>
      <c r="H9" s="8">
        <f>SUM(H7:H8)</f>
        <v/>
      </c>
      <c r="I9" s="8" t="inlineStr"/>
      <c r="J9" s="9">
        <f>SUM(J7:J8)</f>
        <v/>
      </c>
      <c r="K9" s="9">
        <f>SUM(K7:K8)</f>
        <v/>
      </c>
      <c r="L9" s="10">
        <f>SUM(L7:L8)</f>
        <v/>
      </c>
      <c r="M9" s="10">
        <f>SUM(M7:M8)</f>
        <v/>
      </c>
      <c r="N9" s="8" t="inlineStr"/>
      <c r="O9" s="8" t="inlineStr"/>
    </row>
    <row r="11">
      <c r="A11" s="11" t="inlineStr">
        <is>
          <t>003</t>
        </is>
      </c>
      <c r="B11" s="11" t="inlineStr">
        <is>
          <t>2025-08-12</t>
        </is>
      </c>
      <c r="C11" s="11" t="inlineStr">
        <is>
          <t>Lumber</t>
        </is>
      </c>
      <c r="D11" s="12" t="inlineStr">
        <is>
          <t>SYP DRY #2 STUD PT 104-5/8" 2X6X9</t>
        </is>
      </c>
      <c r="E11" s="11" t="n">
        <v>2</v>
      </c>
      <c r="F11" s="11" t="n">
        <v>6</v>
      </c>
      <c r="G11" s="11" t="n">
        <v>9</v>
      </c>
      <c r="H11" s="13" t="n">
        <v>1063</v>
      </c>
      <c r="I11" s="14" t="n">
        <v>525</v>
      </c>
      <c r="J11" s="15" t="n">
        <v>9567</v>
      </c>
      <c r="K11" s="15" t="n">
        <v>9567</v>
      </c>
      <c r="L11" s="14" t="n">
        <v>5022.68</v>
      </c>
      <c r="M11" s="14" t="n">
        <v>5324.04</v>
      </c>
      <c r="N11" s="12" t="inlineStr">
        <is>
          <t>update_po_qty</t>
        </is>
      </c>
      <c r="O11" s="12" t="inlineStr">
        <is>
          <t>2 x 6 9 SYP #2 PET 104-5/8</t>
        </is>
      </c>
    </row>
    <row r="12">
      <c r="A12" s="2" t="inlineStr">
        <is>
          <t>003</t>
        </is>
      </c>
      <c r="B12" s="2" t="inlineStr">
        <is>
          <t>2025-08-12</t>
        </is>
      </c>
      <c r="C12" s="2" t="inlineStr">
        <is>
          <t>Panels</t>
        </is>
      </c>
      <c r="D12" s="3" t="inlineStr">
        <is>
          <t>23/32" 4X8 OSB T&amp;G ADVANTECH</t>
        </is>
      </c>
      <c r="E12" s="2" t="n">
        <v>0.71875</v>
      </c>
      <c r="F12" s="2" t="n">
        <v>8</v>
      </c>
      <c r="G12" s="2" t="inlineStr"/>
      <c r="H12" s="4" t="n">
        <v>135</v>
      </c>
      <c r="I12" s="5" t="n">
        <v>1015</v>
      </c>
      <c r="J12" s="6" t="n">
        <v>0</v>
      </c>
      <c r="K12" s="6" t="n">
        <v>4320</v>
      </c>
      <c r="L12" s="5" t="n">
        <v>4384.8</v>
      </c>
      <c r="M12" s="5" t="n">
        <v>4647.89</v>
      </c>
      <c r="N12" s="3" t="inlineStr">
        <is>
          <t>update_po_qty</t>
        </is>
      </c>
      <c r="O12" s="3" t="inlineStr">
        <is>
          <t>23/32" 4X8 OSB T&amp;G ADVANTECH (CO#002)</t>
        </is>
      </c>
    </row>
    <row r="13">
      <c r="A13" s="7" t="inlineStr">
        <is>
          <t>CO #003 SUBTOTAL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>
        <f>SUM(H11:H12)</f>
        <v/>
      </c>
      <c r="I13" s="8" t="inlineStr"/>
      <c r="J13" s="9">
        <f>SUM(J11:J12)</f>
        <v/>
      </c>
      <c r="K13" s="9">
        <f>SUM(K11:K12)</f>
        <v/>
      </c>
      <c r="L13" s="10">
        <f>SUM(L11:L12)</f>
        <v/>
      </c>
      <c r="M13" s="10">
        <f>SUM(M11:M12)</f>
        <v/>
      </c>
      <c r="N13" s="8" t="inlineStr"/>
      <c r="O13" s="8" t="inlineStr"/>
    </row>
    <row r="15">
      <c r="A15" s="11" t="inlineStr">
        <is>
          <t>004</t>
        </is>
      </c>
      <c r="B15" s="11" t="inlineStr">
        <is>
          <t>2025-10-12</t>
        </is>
      </c>
      <c r="C15" s="11" t="inlineStr">
        <is>
          <t>Lumber</t>
        </is>
      </c>
      <c r="D15" s="12" t="inlineStr">
        <is>
          <t>SYP DRY #2 S4S 2X4XR/L</t>
        </is>
      </c>
      <c r="E15" s="11" t="n">
        <v>2</v>
      </c>
      <c r="F15" s="11" t="n">
        <v>4</v>
      </c>
      <c r="G15" s="11" t="n">
        <v>1</v>
      </c>
      <c r="H15" s="13" t="n">
        <v>9984</v>
      </c>
      <c r="I15" s="14" t="n">
        <v>515</v>
      </c>
      <c r="J15" s="15" t="n">
        <v>9984</v>
      </c>
      <c r="K15" s="15" t="n">
        <v>6656</v>
      </c>
      <c r="L15" s="14" t="n">
        <v>3427.84</v>
      </c>
      <c r="M15" s="14" t="n">
        <v>3633.51</v>
      </c>
      <c r="N15" s="12" t="inlineStr">
        <is>
          <t>update_po_qty</t>
        </is>
      </c>
      <c r="O15" s="12" t="inlineStr">
        <is>
          <t>2 x 4 1 SYP #2</t>
        </is>
      </c>
    </row>
    <row r="16">
      <c r="A16" s="7" t="inlineStr">
        <is>
          <t>CO #004 SUBTOTAL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>
        <f>SUM(H15:H15)</f>
        <v/>
      </c>
      <c r="I16" s="8" t="inlineStr"/>
      <c r="J16" s="9">
        <f>SUM(J15:J15)</f>
        <v/>
      </c>
      <c r="K16" s="9">
        <f>SUM(K15:K15)</f>
        <v/>
      </c>
      <c r="L16" s="10">
        <f>SUM(L15:L15)</f>
        <v/>
      </c>
      <c r="M16" s="10">
        <f>SUM(M15:M15)</f>
        <v/>
      </c>
      <c r="N16" s="8" t="inlineStr"/>
      <c r="O16" s="8" t="inlineStr"/>
    </row>
    <row r="18">
      <c r="A18" s="11" t="inlineStr">
        <is>
          <t>005</t>
        </is>
      </c>
      <c r="B18" s="11" t="inlineStr">
        <is>
          <t>2025-12-12</t>
        </is>
      </c>
      <c r="C18" s="11" t="inlineStr">
        <is>
          <t>Lumber</t>
        </is>
      </c>
      <c r="D18" s="12" t="inlineStr">
        <is>
          <t>SYP DRY #2 STUD PET 104-5/8" 2X4X9</t>
        </is>
      </c>
      <c r="E18" s="11" t="n">
        <v>2</v>
      </c>
      <c r="F18" s="11" t="n">
        <v>4</v>
      </c>
      <c r="G18" s="11" t="n">
        <v>9</v>
      </c>
      <c r="H18" s="13" t="n">
        <v>1664</v>
      </c>
      <c r="I18" s="14" t="n">
        <v>545</v>
      </c>
      <c r="J18" s="15" t="n">
        <v>14976</v>
      </c>
      <c r="K18" s="15" t="n">
        <v>9984</v>
      </c>
      <c r="L18" s="14" t="n">
        <v>5441.28</v>
      </c>
      <c r="M18" s="14" t="n">
        <v>5767.76</v>
      </c>
      <c r="N18" s="12" t="inlineStr">
        <is>
          <t>add_new</t>
        </is>
      </c>
      <c r="O18" s="12" t="inlineStr">
        <is>
          <t>NEW</t>
        </is>
      </c>
    </row>
    <row r="19">
      <c r="A19" s="11" t="inlineStr">
        <is>
          <t>005</t>
        </is>
      </c>
      <c r="B19" s="11" t="inlineStr">
        <is>
          <t>2025-12-12</t>
        </is>
      </c>
      <c r="C19" s="11" t="inlineStr">
        <is>
          <t>Lumber</t>
        </is>
      </c>
      <c r="D19" s="12" t="inlineStr">
        <is>
          <t>SYP DRY #2 S4S 2X6XR/L</t>
        </is>
      </c>
      <c r="E19" s="11" t="n">
        <v>2</v>
      </c>
      <c r="F19" s="11" t="n">
        <v>6</v>
      </c>
      <c r="G19" s="11" t="n">
        <v>1</v>
      </c>
      <c r="H19" s="13" t="n">
        <v>3748</v>
      </c>
      <c r="I19" s="14" t="n">
        <v>435</v>
      </c>
      <c r="J19" s="15" t="n">
        <v>3748</v>
      </c>
      <c r="K19" s="15" t="n">
        <v>3748</v>
      </c>
      <c r="L19" s="14" t="n">
        <v>1630.38</v>
      </c>
      <c r="M19" s="14" t="n">
        <v>1728.2</v>
      </c>
      <c r="N19" s="12" t="inlineStr">
        <is>
          <t>update_po_qty</t>
        </is>
      </c>
      <c r="O19" s="12" t="inlineStr">
        <is>
          <t>2 x 6 1 SYP #2</t>
        </is>
      </c>
    </row>
    <row r="20">
      <c r="A20" s="7" t="inlineStr">
        <is>
          <t>CO #005 SUBTOTAL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>
        <f>SUM(H18:H19)</f>
        <v/>
      </c>
      <c r="I20" s="8" t="inlineStr"/>
      <c r="J20" s="9">
        <f>SUM(J18:J19)</f>
        <v/>
      </c>
      <c r="K20" s="9">
        <f>SUM(K18:K19)</f>
        <v/>
      </c>
      <c r="L20" s="10">
        <f>SUM(L18:L19)</f>
        <v/>
      </c>
      <c r="M20" s="10">
        <f>SUM(M18:M19)</f>
        <v/>
      </c>
      <c r="N20" s="8" t="inlineStr"/>
      <c r="O20" s="8" t="inlineStr"/>
    </row>
    <row r="22">
      <c r="A22" s="11" t="inlineStr">
        <is>
          <t>006</t>
        </is>
      </c>
      <c r="B22" s="11" t="inlineStr">
        <is>
          <t>2025-02-12</t>
        </is>
      </c>
      <c r="C22" s="11" t="inlineStr">
        <is>
          <t>Lumber</t>
        </is>
      </c>
      <c r="D22" s="12" t="inlineStr">
        <is>
          <t>SYP PT #2 S4S 2X8XR/L</t>
        </is>
      </c>
      <c r="E22" s="11" t="n">
        <v>2</v>
      </c>
      <c r="F22" s="11" t="n">
        <v>8</v>
      </c>
      <c r="G22" s="11" t="n">
        <v>1</v>
      </c>
      <c r="H22" s="13" t="n">
        <v>4032</v>
      </c>
      <c r="I22" s="14" t="n">
        <v>815</v>
      </c>
      <c r="J22" s="15" t="n">
        <v>4032</v>
      </c>
      <c r="K22" s="15" t="n">
        <v>5376</v>
      </c>
      <c r="L22" s="14" t="n">
        <v>4381.44</v>
      </c>
      <c r="M22" s="14" t="n">
        <v>4644.33</v>
      </c>
      <c r="N22" s="12" t="inlineStr">
        <is>
          <t>update_po_qty</t>
        </is>
      </c>
      <c r="O22" s="12" t="inlineStr">
        <is>
          <t>2 x 8 1 PT</t>
        </is>
      </c>
    </row>
    <row r="23">
      <c r="A23" s="7" t="inlineStr">
        <is>
          <t>CO #006 SUBTOTAL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>
        <f>SUM(H22:H22)</f>
        <v/>
      </c>
      <c r="I23" s="8" t="inlineStr"/>
      <c r="J23" s="9">
        <f>SUM(J22:J22)</f>
        <v/>
      </c>
      <c r="K23" s="9">
        <f>SUM(K22:K22)</f>
        <v/>
      </c>
      <c r="L23" s="10">
        <f>SUM(L22:L22)</f>
        <v/>
      </c>
      <c r="M23" s="10">
        <f>SUM(M22:M22)</f>
        <v/>
      </c>
      <c r="N23" s="8" t="inlineStr"/>
      <c r="O23" s="8" t="inlineStr"/>
    </row>
    <row r="25">
      <c r="A25" s="2" t="inlineStr">
        <is>
          <t>008</t>
        </is>
      </c>
      <c r="B25" s="2" t="inlineStr">
        <is>
          <t>2025-12-22</t>
        </is>
      </c>
      <c r="C25" s="2" t="inlineStr">
        <is>
          <t>Panels</t>
        </is>
      </c>
      <c r="D25" s="3" t="inlineStr">
        <is>
          <t>23/32" 4X8 OSB T&amp;G PT</t>
        </is>
      </c>
      <c r="E25" s="2" t="n">
        <v>0.71875</v>
      </c>
      <c r="F25" s="2" t="n">
        <v>8</v>
      </c>
      <c r="G25" s="2" t="inlineStr"/>
      <c r="H25" s="4" t="n">
        <v>50</v>
      </c>
      <c r="I25" s="5" t="n">
        <v>1285</v>
      </c>
      <c r="J25" s="6" t="n">
        <v>0</v>
      </c>
      <c r="K25" s="6" t="n">
        <v>1600</v>
      </c>
      <c r="L25" s="5" t="n">
        <v>2056</v>
      </c>
      <c r="M25" s="5" t="n">
        <v>2179.36</v>
      </c>
      <c r="N25" s="3" t="inlineStr">
        <is>
          <t>update_po_qty</t>
        </is>
      </c>
      <c r="O25" s="3" t="inlineStr">
        <is>
          <t>23/32" OSB T&amp;G - PT</t>
        </is>
      </c>
    </row>
    <row r="26">
      <c r="A26" s="7" t="inlineStr">
        <is>
          <t>CO #008 SUBTOTAL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>
        <f>SUM(H25:H25)</f>
        <v/>
      </c>
      <c r="I26" s="8" t="inlineStr"/>
      <c r="J26" s="9">
        <f>SUM(J25:J25)</f>
        <v/>
      </c>
      <c r="K26" s="9">
        <f>SUM(K25:K25)</f>
        <v/>
      </c>
      <c r="L26" s="10">
        <f>SUM(L25:L25)</f>
        <v/>
      </c>
      <c r="M26" s="10">
        <f>SUM(M25:M25)</f>
        <v/>
      </c>
      <c r="N26" s="8" t="inlineStr"/>
      <c r="O26" s="8" t="inlineStr"/>
    </row>
    <row r="28">
      <c r="A28" s="11" t="inlineStr">
        <is>
          <t>009</t>
        </is>
      </c>
      <c r="B28" s="11" t="inlineStr">
        <is>
          <t>2025-12-29</t>
        </is>
      </c>
      <c r="C28" s="11" t="inlineStr">
        <is>
          <t>Lumber</t>
        </is>
      </c>
      <c r="D28" s="12" t="inlineStr">
        <is>
          <t>SYP DRY #2 S4S 2X4XR/L</t>
        </is>
      </c>
      <c r="E28" s="11" t="n">
        <v>2</v>
      </c>
      <c r="F28" s="11" t="n">
        <v>4</v>
      </c>
      <c r="G28" s="11" t="n">
        <v>1</v>
      </c>
      <c r="H28" s="13" t="n">
        <v>2496</v>
      </c>
      <c r="I28" s="14" t="n">
        <v>515</v>
      </c>
      <c r="J28" s="15" t="n">
        <v>2496</v>
      </c>
      <c r="K28" s="15" t="n">
        <v>1664</v>
      </c>
      <c r="L28" s="14" t="n">
        <v>856.96</v>
      </c>
      <c r="M28" s="14" t="n">
        <v>908.38</v>
      </c>
      <c r="N28" s="12" t="inlineStr">
        <is>
          <t>update_po_qty</t>
        </is>
      </c>
      <c r="O28" s="12" t="inlineStr">
        <is>
          <t>2 x 4 1 SYP #2</t>
        </is>
      </c>
    </row>
    <row r="29">
      <c r="A29" s="11" t="inlineStr">
        <is>
          <t>009</t>
        </is>
      </c>
      <c r="B29" s="11" t="inlineStr">
        <is>
          <t>2025-12-29</t>
        </is>
      </c>
      <c r="C29" s="11" t="inlineStr">
        <is>
          <t>Lumber</t>
        </is>
      </c>
      <c r="D29" s="12" t="inlineStr">
        <is>
          <t>SYP DRY #2 S4S 2X6XR/L</t>
        </is>
      </c>
      <c r="E29" s="11" t="n">
        <v>2</v>
      </c>
      <c r="F29" s="11" t="n">
        <v>6</v>
      </c>
      <c r="G29" s="11" t="n">
        <v>1</v>
      </c>
      <c r="H29" s="13" t="n">
        <v>3584</v>
      </c>
      <c r="I29" s="14" t="n">
        <v>495</v>
      </c>
      <c r="J29" s="15" t="n">
        <v>3584</v>
      </c>
      <c r="K29" s="15" t="n">
        <v>3584</v>
      </c>
      <c r="L29" s="14" t="n">
        <v>1774.08</v>
      </c>
      <c r="M29" s="14" t="n">
        <v>1880.52</v>
      </c>
      <c r="N29" s="12" t="inlineStr">
        <is>
          <t>add_new</t>
        </is>
      </c>
      <c r="O29" s="12" t="inlineStr">
        <is>
          <t>NEW</t>
        </is>
      </c>
    </row>
    <row r="30">
      <c r="A30" s="11" t="inlineStr">
        <is>
          <t>009</t>
        </is>
      </c>
      <c r="B30" s="11" t="inlineStr">
        <is>
          <t>2025-12-29</t>
        </is>
      </c>
      <c r="C30" s="11" t="inlineStr">
        <is>
          <t>Lumber</t>
        </is>
      </c>
      <c r="D30" s="12" t="inlineStr">
        <is>
          <t>SYP DRY #2 STUD PET 104-5/8" 2X6X9</t>
        </is>
      </c>
      <c r="E30" s="11" t="n">
        <v>2</v>
      </c>
      <c r="F30" s="11" t="n">
        <v>6</v>
      </c>
      <c r="G30" s="11" t="n">
        <v>9</v>
      </c>
      <c r="H30" s="13" t="n">
        <v>128</v>
      </c>
      <c r="I30" s="14" t="n">
        <v>525</v>
      </c>
      <c r="J30" s="15" t="n">
        <v>1152</v>
      </c>
      <c r="K30" s="15" t="n">
        <v>1152</v>
      </c>
      <c r="L30" s="14" t="n">
        <v>604.8</v>
      </c>
      <c r="M30" s="14" t="n">
        <v>641.09</v>
      </c>
      <c r="N30" s="12" t="inlineStr">
        <is>
          <t>update_po_qty</t>
        </is>
      </c>
      <c r="O30" s="12" t="inlineStr">
        <is>
          <t>2 x 6 9 SYP #2 PET 104-5/8</t>
        </is>
      </c>
    </row>
    <row r="31">
      <c r="A31" s="2" t="inlineStr">
        <is>
          <t>009</t>
        </is>
      </c>
      <c r="B31" s="2" t="inlineStr">
        <is>
          <t>2025-12-29</t>
        </is>
      </c>
      <c r="C31" s="2" t="inlineStr">
        <is>
          <t>Panels</t>
        </is>
      </c>
      <c r="D31" s="3" t="inlineStr">
        <is>
          <t>19/32" 4X8 PLYWOOD</t>
        </is>
      </c>
      <c r="E31" s="2" t="n">
        <v>0.59375</v>
      </c>
      <c r="F31" s="2" t="n">
        <v>8</v>
      </c>
      <c r="G31" s="2" t="inlineStr"/>
      <c r="H31" s="4" t="n">
        <v>196</v>
      </c>
      <c r="I31" s="5" t="n">
        <v>855</v>
      </c>
      <c r="J31" s="6" t="n">
        <v>0</v>
      </c>
      <c r="K31" s="6" t="n">
        <v>6272</v>
      </c>
      <c r="L31" s="5" t="n">
        <v>5362.56</v>
      </c>
      <c r="M31" s="5" t="n">
        <v>5684.31</v>
      </c>
      <c r="N31" s="3" t="inlineStr">
        <is>
          <t>update_po_qty</t>
        </is>
      </c>
      <c r="O31" s="3" t="inlineStr">
        <is>
          <t>19/32" 4X8 PLYWOOD (CO#001)</t>
        </is>
      </c>
    </row>
    <row r="32">
      <c r="A32" s="7" t="inlineStr">
        <is>
          <t>CO #009 SUBTOTAL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>
        <f>SUM(H28:H31)</f>
        <v/>
      </c>
      <c r="I32" s="8" t="inlineStr"/>
      <c r="J32" s="9">
        <f>SUM(J28:J31)</f>
        <v/>
      </c>
      <c r="K32" s="9">
        <f>SUM(K28:K31)</f>
        <v/>
      </c>
      <c r="L32" s="10">
        <f>SUM(L28:L31)</f>
        <v/>
      </c>
      <c r="M32" s="10">
        <f>SUM(M28:M31)</f>
        <v/>
      </c>
      <c r="N32" s="8" t="inlineStr"/>
      <c r="O32" s="8" t="inlineStr"/>
    </row>
    <row r="34">
      <c r="A34" s="11" t="inlineStr">
        <is>
          <t>010</t>
        </is>
      </c>
      <c r="B34" s="11" t="inlineStr">
        <is>
          <t>2026-01-16</t>
        </is>
      </c>
      <c r="C34" s="11" t="inlineStr">
        <is>
          <t>Lumber</t>
        </is>
      </c>
      <c r="D34" s="12" t="inlineStr">
        <is>
          <t>SYP DRY #2 S4S 2X4XR/L</t>
        </is>
      </c>
      <c r="E34" s="11" t="n">
        <v>2</v>
      </c>
      <c r="F34" s="11" t="n">
        <v>4</v>
      </c>
      <c r="G34" s="11" t="n">
        <v>1</v>
      </c>
      <c r="H34" s="13" t="n">
        <v>2912</v>
      </c>
      <c r="I34" s="14" t="n">
        <v>515</v>
      </c>
      <c r="J34" s="15" t="n">
        <v>2912</v>
      </c>
      <c r="K34" s="15" t="n">
        <v>1941.3333</v>
      </c>
      <c r="L34" s="14" t="n">
        <v>999.79</v>
      </c>
      <c r="M34" s="14" t="n">
        <v>1059.78</v>
      </c>
      <c r="N34" s="12" t="inlineStr">
        <is>
          <t>update_po_qty</t>
        </is>
      </c>
      <c r="O34" s="12" t="inlineStr">
        <is>
          <t>2 x 4 1 SYP #2</t>
        </is>
      </c>
    </row>
    <row r="35">
      <c r="A35" s="7" t="inlineStr">
        <is>
          <t>CO #010 SUBTOTAL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>
        <f>SUM(H34:H34)</f>
        <v/>
      </c>
      <c r="I35" s="8" t="inlineStr"/>
      <c r="J35" s="9">
        <f>SUM(J34:J34)</f>
        <v/>
      </c>
      <c r="K35" s="9">
        <f>SUM(K34:K34)</f>
        <v/>
      </c>
      <c r="L35" s="10">
        <f>SUM(L34:L34)</f>
        <v/>
      </c>
      <c r="M35" s="10">
        <f>SUM(M34:M34)</f>
        <v/>
      </c>
      <c r="N35" s="8" t="inlineStr"/>
      <c r="O35" s="8" t="inlineStr"/>
    </row>
    <row r="37">
      <c r="A37" s="11" t="inlineStr">
        <is>
          <t>011</t>
        </is>
      </c>
      <c r="B37" s="11" t="inlineStr">
        <is>
          <t>2026-01-13</t>
        </is>
      </c>
      <c r="C37" s="11" t="inlineStr">
        <is>
          <t>Lumber</t>
        </is>
      </c>
      <c r="D37" s="12" t="inlineStr">
        <is>
          <t>SYP DRY #2 S4S 2X4XR/L</t>
        </is>
      </c>
      <c r="E37" s="11" t="n">
        <v>2</v>
      </c>
      <c r="F37" s="11" t="n">
        <v>4</v>
      </c>
      <c r="G37" s="11" t="n">
        <v>1</v>
      </c>
      <c r="H37" s="13" t="n">
        <v>7488</v>
      </c>
      <c r="I37" s="14" t="n">
        <v>515</v>
      </c>
      <c r="J37" s="15" t="n">
        <v>7488</v>
      </c>
      <c r="K37" s="15" t="n">
        <v>4992</v>
      </c>
      <c r="L37" s="14" t="n">
        <v>2570.88</v>
      </c>
      <c r="M37" s="14" t="n">
        <v>2725.13</v>
      </c>
      <c r="N37" s="12" t="inlineStr">
        <is>
          <t>update_po_qty</t>
        </is>
      </c>
      <c r="O37" s="12" t="inlineStr">
        <is>
          <t>2 x 4 1 SYP #2</t>
        </is>
      </c>
    </row>
    <row r="38">
      <c r="A38" s="7" t="inlineStr">
        <is>
          <t>CO #011 SUBTOTAL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>
        <f>SUM(H37:H37)</f>
        <v/>
      </c>
      <c r="I38" s="8" t="inlineStr"/>
      <c r="J38" s="9">
        <f>SUM(J37:J37)</f>
        <v/>
      </c>
      <c r="K38" s="9">
        <f>SUM(K37:K37)</f>
        <v/>
      </c>
      <c r="L38" s="10">
        <f>SUM(L37:L37)</f>
        <v/>
      </c>
      <c r="M38" s="10">
        <f>SUM(M37:M37)</f>
        <v/>
      </c>
      <c r="N38" s="8" t="inlineStr"/>
      <c r="O38" s="8" t="inlineStr"/>
    </row>
    <row r="40">
      <c r="A40" s="2" t="inlineStr">
        <is>
          <t>012</t>
        </is>
      </c>
      <c r="B40" s="2" t="inlineStr">
        <is>
          <t>2026-01-26</t>
        </is>
      </c>
      <c r="C40" s="2" t="inlineStr">
        <is>
          <t>Panels</t>
        </is>
      </c>
      <c r="D40" s="3" t="inlineStr">
        <is>
          <t>19/32" 4X8 PLYWOOD</t>
        </is>
      </c>
      <c r="E40" s="2" t="n">
        <v>0.59375</v>
      </c>
      <c r="F40" s="2" t="n">
        <v>8</v>
      </c>
      <c r="G40" s="2" t="inlineStr"/>
      <c r="H40" s="4" t="n">
        <v>56</v>
      </c>
      <c r="I40" s="5" t="n">
        <v>855</v>
      </c>
      <c r="J40" s="6" t="n">
        <v>0</v>
      </c>
      <c r="K40" s="6" t="n">
        <v>1792</v>
      </c>
      <c r="L40" s="5" t="n">
        <v>1532.16</v>
      </c>
      <c r="M40" s="5" t="n">
        <v>1624.09</v>
      </c>
      <c r="N40" s="3" t="inlineStr">
        <is>
          <t>update_po_qty</t>
        </is>
      </c>
      <c r="O40" s="3" t="inlineStr">
        <is>
          <t>19/32" 4X8 PLYWOOD (CO#001)</t>
        </is>
      </c>
    </row>
    <row r="41">
      <c r="A41" s="7" t="inlineStr">
        <is>
          <t>CO #012 SUBTOTAL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>
        <f>SUM(H40:H40)</f>
        <v/>
      </c>
      <c r="I41" s="8" t="inlineStr"/>
      <c r="J41" s="9">
        <f>SUM(J40:J40)</f>
        <v/>
      </c>
      <c r="K41" s="9">
        <f>SUM(K40:K40)</f>
        <v/>
      </c>
      <c r="L41" s="10">
        <f>SUM(L40:L40)</f>
        <v/>
      </c>
      <c r="M41" s="10">
        <f>SUM(M40:M40)</f>
        <v/>
      </c>
      <c r="N41" s="8" t="inlineStr"/>
      <c r="O41" s="8" t="inlineStr"/>
    </row>
    <row r="43">
      <c r="A43" s="11" t="inlineStr">
        <is>
          <t>015</t>
        </is>
      </c>
      <c r="B43" s="11" t="inlineStr">
        <is>
          <t>2026-03-13</t>
        </is>
      </c>
      <c r="C43" s="11" t="inlineStr">
        <is>
          <t>Lumber</t>
        </is>
      </c>
      <c r="D43" s="12" t="inlineStr">
        <is>
          <t>SYP DRY #2 S4S 2X4XR/L</t>
        </is>
      </c>
      <c r="E43" s="11" t="n">
        <v>2</v>
      </c>
      <c r="F43" s="11" t="n">
        <v>4</v>
      </c>
      <c r="G43" s="11" t="n">
        <v>1</v>
      </c>
      <c r="H43" s="13" t="n">
        <v>2496</v>
      </c>
      <c r="I43" s="14" t="n">
        <v>515</v>
      </c>
      <c r="J43" s="15" t="n">
        <v>2496</v>
      </c>
      <c r="K43" s="15" t="n">
        <v>1664</v>
      </c>
      <c r="L43" s="14" t="n">
        <v>856.96</v>
      </c>
      <c r="M43" s="14" t="n">
        <v>908.38</v>
      </c>
      <c r="N43" s="12" t="inlineStr">
        <is>
          <t>update_po_qty</t>
        </is>
      </c>
      <c r="O43" s="12" t="inlineStr">
        <is>
          <t>2 x 4 1 SYP #2</t>
        </is>
      </c>
    </row>
    <row r="44">
      <c r="A44" s="7" t="inlineStr">
        <is>
          <t>CO #015 SUBTOTAL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>
        <f>SUM(H43:H43)</f>
        <v/>
      </c>
      <c r="I44" s="8" t="inlineStr"/>
      <c r="J44" s="9">
        <f>SUM(J43:J43)</f>
        <v/>
      </c>
      <c r="K44" s="9">
        <f>SUM(K43:K43)</f>
        <v/>
      </c>
      <c r="L44" s="10">
        <f>SUM(L43:L43)</f>
        <v/>
      </c>
      <c r="M44" s="10">
        <f>SUM(M43:M43)</f>
        <v/>
      </c>
      <c r="N44" s="8" t="inlineStr"/>
      <c r="O44" s="8" t="inlineStr"/>
    </row>
    <row r="46">
      <c r="A46" s="11" t="inlineStr">
        <is>
          <t>014</t>
        </is>
      </c>
      <c r="B46" s="11" t="inlineStr">
        <is>
          <t>2026-03-09</t>
        </is>
      </c>
      <c r="C46" s="11" t="inlineStr">
        <is>
          <t>Lumber</t>
        </is>
      </c>
      <c r="D46" s="12" t="inlineStr">
        <is>
          <t>SYP DRY #2 STUD PET 104-5/8" 2X6X9</t>
        </is>
      </c>
      <c r="E46" s="11" t="n">
        <v>2</v>
      </c>
      <c r="F46" s="11" t="n">
        <v>6</v>
      </c>
      <c r="G46" s="11" t="n">
        <v>9</v>
      </c>
      <c r="H46" s="13" t="n">
        <v>128</v>
      </c>
      <c r="I46" s="14" t="n">
        <v>645</v>
      </c>
      <c r="J46" s="15" t="n">
        <v>1152</v>
      </c>
      <c r="K46" s="15" t="n">
        <v>1152</v>
      </c>
      <c r="L46" s="14" t="n">
        <v>743.04</v>
      </c>
      <c r="M46" s="14" t="n">
        <v>787.62</v>
      </c>
      <c r="N46" s="12" t="inlineStr">
        <is>
          <t>add_new</t>
        </is>
      </c>
      <c r="O46" s="12" t="inlineStr">
        <is>
          <t>NEW</t>
        </is>
      </c>
    </row>
    <row r="47">
      <c r="A47" s="16" t="inlineStr">
        <is>
          <t>014</t>
        </is>
      </c>
      <c r="B47" s="16" t="inlineStr">
        <is>
          <t>2026-03-09</t>
        </is>
      </c>
      <c r="C47" s="16" t="inlineStr">
        <is>
          <t>LVL</t>
        </is>
      </c>
      <c r="D47" s="17" t="inlineStr">
        <is>
          <t>3-1/2X11-7/8 GLULAM BEAM 6/12'</t>
        </is>
      </c>
      <c r="E47" s="16" t="n">
        <v>3.5</v>
      </c>
      <c r="F47" s="16" t="n">
        <v>11.875</v>
      </c>
      <c r="G47" s="16" t="n">
        <v>12</v>
      </c>
      <c r="H47" s="18" t="n">
        <v>6</v>
      </c>
      <c r="I47" s="19" t="n">
        <v>19.45</v>
      </c>
      <c r="J47" s="20" t="n">
        <v>72</v>
      </c>
      <c r="K47" s="20" t="n">
        <v>0</v>
      </c>
      <c r="L47" s="19" t="n">
        <v>1400.4</v>
      </c>
      <c r="M47" s="19" t="n">
        <v>1484.42</v>
      </c>
      <c r="N47" s="17" t="inlineStr">
        <is>
          <t>add_new</t>
        </is>
      </c>
      <c r="O47" s="17" t="inlineStr">
        <is>
          <t>NEW</t>
        </is>
      </c>
    </row>
    <row r="48">
      <c r="A48" s="21" t="inlineStr">
        <is>
          <t>014</t>
        </is>
      </c>
      <c r="B48" s="21" t="inlineStr">
        <is>
          <t>2026-03-09</t>
        </is>
      </c>
      <c r="C48" s="21" t="inlineStr">
        <is>
          <t>Each</t>
        </is>
      </c>
      <c r="D48" s="22" t="inlineStr">
        <is>
          <t>DELIVERY - NO SALES TAX</t>
        </is>
      </c>
      <c r="E48" s="21" t="inlineStr"/>
      <c r="F48" s="21" t="inlineStr"/>
      <c r="G48" s="21" t="inlineStr"/>
      <c r="H48" s="23" t="n">
        <v>1</v>
      </c>
      <c r="I48" s="24" t="n">
        <v>800</v>
      </c>
      <c r="J48" s="25" t="n">
        <v>0</v>
      </c>
      <c r="K48" s="25" t="n">
        <v>0</v>
      </c>
      <c r="L48" s="24" t="n">
        <v>800</v>
      </c>
      <c r="M48" s="24" t="n">
        <v>848</v>
      </c>
      <c r="N48" s="22" t="inlineStr">
        <is>
          <t>add_new</t>
        </is>
      </c>
      <c r="O48" s="22" t="inlineStr">
        <is>
          <t>NEW</t>
        </is>
      </c>
    </row>
    <row r="49">
      <c r="A49" s="7" t="inlineStr">
        <is>
          <t>CO #014 SUBTOTAL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>
        <f>SUM(H46:H48)</f>
        <v/>
      </c>
      <c r="I49" s="8" t="inlineStr"/>
      <c r="J49" s="9">
        <f>SUM(J46:J48)</f>
        <v/>
      </c>
      <c r="K49" s="9">
        <f>SUM(K46:K48)</f>
        <v/>
      </c>
      <c r="L49" s="10">
        <f>SUM(L46:L48)</f>
        <v/>
      </c>
      <c r="M49" s="10">
        <f>SUM(M46:M48)</f>
        <v/>
      </c>
      <c r="N49" s="8" t="inlineStr"/>
      <c r="O49" s="8" t="inlineStr"/>
    </row>
    <row r="51">
      <c r="A51" s="26" t="inlineStr">
        <is>
          <t>GRAND TOTAL</t>
        </is>
      </c>
      <c r="B51" s="27" t="inlineStr"/>
      <c r="C51" s="27" t="inlineStr"/>
      <c r="D51" s="27" t="inlineStr"/>
      <c r="E51" s="27" t="inlineStr"/>
      <c r="F51" s="27" t="inlineStr"/>
      <c r="G51" s="27" t="inlineStr"/>
      <c r="H51" s="27" t="inlineStr"/>
      <c r="I51" s="27" t="inlineStr"/>
      <c r="J51" s="27" t="inlineStr"/>
      <c r="K51" s="27" t="inlineStr"/>
      <c r="L51" s="28">
        <f>SUM(L2:L49)</f>
        <v/>
      </c>
      <c r="M51" s="28">
        <f>SUM(M2:M49)</f>
        <v/>
      </c>
      <c r="N51" s="27" t="inlineStr"/>
      <c r="O51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2026-06-18T00:40:07Z</dcterms:created>
  <dcterms:modified xsi:type="dcterms:W3CDTF">2026-06-18T00:40:07Z</dcterms:modified>
</cp:coreProperties>
</file>