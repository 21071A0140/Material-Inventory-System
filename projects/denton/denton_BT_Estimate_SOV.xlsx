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3c269c6d62b0676/Desktop/inventory_system/inventory_system/projects/denton/"/>
    </mc:Choice>
  </mc:AlternateContent>
  <xr:revisionPtr revIDLastSave="2" documentId="11_AA5E6D47D25ADEBA9C72A3DF4AEA8AB9415DA6CF" xr6:coauthVersionLast="47" xr6:coauthVersionMax="47" xr10:uidLastSave="{BF4831DC-E721-4951-93B7-545BEFF5097F}"/>
  <bookViews>
    <workbookView xWindow="-98" yWindow="-98" windowWidth="21795" windowHeight="12975" xr2:uid="{00000000-000D-0000-FFFF-FFFF00000000}"/>
  </bookViews>
  <sheets>
    <sheet name="BT Estimate" sheetId="1" r:id="rId1"/>
    <sheet name="SOV" sheetId="2" r:id="rId2"/>
    <sheet name="SRC-Estimate" sheetId="3" r:id="rId3"/>
    <sheet name="SRC-(5) Buyou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" l="1"/>
  <c r="J25" i="1" s="1"/>
  <c r="H24" i="1"/>
  <c r="J24" i="1" s="1"/>
  <c r="H23" i="1"/>
  <c r="J23" i="1" s="1"/>
  <c r="H22" i="1"/>
  <c r="J22" i="1" s="1"/>
  <c r="H21" i="1"/>
  <c r="J21" i="1" s="1"/>
  <c r="H20" i="1"/>
  <c r="J20" i="1" s="1"/>
  <c r="H19" i="1"/>
  <c r="F18" i="1"/>
  <c r="H18" i="1" s="1"/>
  <c r="J18" i="1" s="1"/>
  <c r="F17" i="1"/>
  <c r="H17" i="1" s="1"/>
  <c r="J17" i="1" s="1"/>
  <c r="F16" i="1"/>
  <c r="H16" i="1" s="1"/>
  <c r="J16" i="1" s="1"/>
  <c r="H15" i="1"/>
  <c r="J15" i="1" s="1"/>
  <c r="F15" i="1"/>
  <c r="F14" i="1"/>
  <c r="H14" i="1" s="1"/>
  <c r="J14" i="1" s="1"/>
  <c r="F13" i="1"/>
  <c r="H13" i="1" s="1"/>
  <c r="J13" i="1" s="1"/>
  <c r="F12" i="1"/>
  <c r="H12" i="1" s="1"/>
  <c r="J12" i="1" s="1"/>
  <c r="H11" i="1"/>
  <c r="J11" i="1" s="1"/>
  <c r="F11" i="1"/>
  <c r="F10" i="1"/>
  <c r="H10" i="1" s="1"/>
  <c r="J10" i="1" s="1"/>
  <c r="F9" i="1"/>
  <c r="H9" i="1" s="1"/>
  <c r="J9" i="1" s="1"/>
  <c r="H8" i="1"/>
  <c r="J8" i="1" s="1"/>
  <c r="H7" i="1"/>
  <c r="J7" i="1" s="1"/>
  <c r="H6" i="1"/>
  <c r="J6" i="1" s="1"/>
  <c r="H5" i="1"/>
  <c r="J5" i="1" s="1"/>
  <c r="H4" i="1"/>
  <c r="J4" i="1" s="1"/>
  <c r="H3" i="1"/>
  <c r="J3" i="1" s="1"/>
  <c r="H2" i="1"/>
  <c r="J2" i="1" s="1"/>
  <c r="K11" i="1" l="1"/>
  <c r="L11" i="1" s="1"/>
  <c r="D6" i="2" s="1"/>
  <c r="K12" i="1"/>
  <c r="L12" i="1"/>
  <c r="D7" i="2" s="1"/>
  <c r="L13" i="1"/>
  <c r="D8" i="2" s="1"/>
  <c r="K13" i="1"/>
  <c r="L14" i="1"/>
  <c r="D9" i="2" s="1"/>
  <c r="K14" i="1"/>
  <c r="K15" i="1"/>
  <c r="L15" i="1" s="1"/>
  <c r="D10" i="2" s="1"/>
  <c r="K2" i="1"/>
  <c r="J19" i="1"/>
  <c r="K16" i="1"/>
  <c r="L16" i="1" s="1"/>
  <c r="D11" i="2" s="1"/>
  <c r="L3" i="1"/>
  <c r="K3" i="1"/>
  <c r="K17" i="1"/>
  <c r="L17" i="1"/>
  <c r="D12" i="2" s="1"/>
  <c r="K4" i="1"/>
  <c r="L4" i="1" s="1"/>
  <c r="K18" i="1"/>
  <c r="L18" i="1"/>
  <c r="D13" i="2" s="1"/>
  <c r="K5" i="1"/>
  <c r="L5" i="1"/>
  <c r="K6" i="1"/>
  <c r="L6" i="1" s="1"/>
  <c r="K20" i="1"/>
  <c r="L20" i="1" s="1"/>
  <c r="D14" i="2" s="1"/>
  <c r="K7" i="1"/>
  <c r="L7" i="1" s="1"/>
  <c r="L21" i="1"/>
  <c r="D15" i="2" s="1"/>
  <c r="K21" i="1"/>
  <c r="K8" i="1"/>
  <c r="L8" i="1"/>
  <c r="K22" i="1"/>
  <c r="L22" i="1" s="1"/>
  <c r="D16" i="2" s="1"/>
  <c r="K9" i="1"/>
  <c r="L9" i="1"/>
  <c r="D4" i="2" s="1"/>
  <c r="K23" i="1"/>
  <c r="L23" i="1" s="1"/>
  <c r="D17" i="2" s="1"/>
  <c r="K10" i="1"/>
  <c r="L10" i="1"/>
  <c r="D5" i="2" s="1"/>
  <c r="K24" i="1"/>
  <c r="L24" i="1" s="1"/>
  <c r="D18" i="2" s="1"/>
  <c r="K25" i="1"/>
  <c r="L25" i="1" s="1"/>
  <c r="D19" i="2" s="1"/>
  <c r="I19" i="1" l="1"/>
  <c r="K19" i="1"/>
  <c r="D3" i="2" s="1"/>
  <c r="D21" i="2" s="1"/>
  <c r="L2" i="1"/>
  <c r="L19" i="1" l="1"/>
</calcChain>
</file>

<file path=xl/sharedStrings.xml><?xml version="1.0" encoding="utf-8"?>
<sst xmlns="http://schemas.openxmlformats.org/spreadsheetml/2006/main" count="512" uniqueCount="187">
  <si>
    <t>Category</t>
  </si>
  <si>
    <t>Cost Code</t>
  </si>
  <si>
    <t>Title</t>
  </si>
  <si>
    <t>Cost Type</t>
  </si>
  <si>
    <t>Unit Cost</t>
  </si>
  <si>
    <t>Quantity</t>
  </si>
  <si>
    <t>Unit</t>
  </si>
  <si>
    <t>Builder Cost</t>
  </si>
  <si>
    <t>Markup</t>
  </si>
  <si>
    <t>Owner Cost</t>
  </si>
  <si>
    <t>Mobilization</t>
  </si>
  <si>
    <t>New Value</t>
  </si>
  <si>
    <t>Source / Link</t>
  </si>
  <si>
    <t>00 - General Conditions</t>
  </si>
  <si>
    <t>001 - Supervision</t>
  </si>
  <si>
    <t>Site Supervision</t>
  </si>
  <si>
    <t>Allowance</t>
  </si>
  <si>
    <t>Months</t>
  </si>
  <si>
    <t>Qty: package/derived • Rate from Buyout [001]</t>
  </si>
  <si>
    <t>004 - Site Office</t>
  </si>
  <si>
    <t>Site Office</t>
  </si>
  <si>
    <t>Qty: package/derived • Rate from Buyout [004]</t>
  </si>
  <si>
    <t>005 - Housing</t>
  </si>
  <si>
    <t>Housing - Management</t>
  </si>
  <si>
    <t>Qty: package/derived • Rate from Buyout [005]</t>
  </si>
  <si>
    <t>006 - Forklift</t>
  </si>
  <si>
    <t>Forklift</t>
  </si>
  <si>
    <t>Equipment</t>
  </si>
  <si>
    <t>Qty: package/derived • Rate from Buyout [006]</t>
  </si>
  <si>
    <t>007 - Manlift</t>
  </si>
  <si>
    <t>Manlift</t>
  </si>
  <si>
    <t>Qty: package/derived • Rate from Buyout [007]</t>
  </si>
  <si>
    <t>008 - Crane</t>
  </si>
  <si>
    <t>Crane</t>
  </si>
  <si>
    <t>SF</t>
  </si>
  <si>
    <t>Qty: package/derived • Rate from Buyout [008]</t>
  </si>
  <si>
    <t>013 - Fuel</t>
  </si>
  <si>
    <t>Fuel</t>
  </si>
  <si>
    <t>Qty: package/derived • Rate from Buyout [013]</t>
  </si>
  <si>
    <t>01 - Framing</t>
  </si>
  <si>
    <t>101 - Layout - Labor</t>
  </si>
  <si>
    <t>Building I Layout - BLDG 1</t>
  </si>
  <si>
    <t>Labor</t>
  </si>
  <si>
    <t>Qty ='SRC-Estimate'!C30 • Rate from Buyout [101]</t>
  </si>
  <si>
    <t>Building II Layout - BLDG 1</t>
  </si>
  <si>
    <t>Qty ='SRC-Estimate'!I30 • Rate from Buyout [101]</t>
  </si>
  <si>
    <t>102 - Framing - Labor</t>
  </si>
  <si>
    <t>Building I Wall Framing - BLDG 1</t>
  </si>
  <si>
    <t>Qty ='SRC-Estimate'!C30 • Rate from Buyout [102]</t>
  </si>
  <si>
    <t>Building II Wall Framing - BLDG 1</t>
  </si>
  <si>
    <t>Qty ='SRC-Estimate'!I30 • Rate from Buyout [102]</t>
  </si>
  <si>
    <t>103 - Sheathing - Labor</t>
  </si>
  <si>
    <t>Building I Sheathing - BLDG 1</t>
  </si>
  <si>
    <t>Qty ='SRC-Estimate'!C30 • Rate from Buyout [103]</t>
  </si>
  <si>
    <t>Building II Sheathing - BLDG 1</t>
  </si>
  <si>
    <t>Qty ='SRC-Estimate'!I30 • Rate from Buyout [103]</t>
  </si>
  <si>
    <t>109 - Hardware - Labor</t>
  </si>
  <si>
    <t>Building I Hardware - BLDG 1</t>
  </si>
  <si>
    <t>Qty ='SRC-Estimate'!C30 • Rate from Buyout [109]</t>
  </si>
  <si>
    <t>Building II Hardware - BLDG 1</t>
  </si>
  <si>
    <t>Qty ='SRC-Estimate'!I30 • Rate from Buyout [109]</t>
  </si>
  <si>
    <t>115 - Punchout - Labor</t>
  </si>
  <si>
    <t>Building I Punchout - BLDG 1</t>
  </si>
  <si>
    <t>Qty ='SRC-Estimate'!C30 • Rate from Buyout [115]</t>
  </si>
  <si>
    <t>Building II Punchout - BLDG 1</t>
  </si>
  <si>
    <t>Qty ='SRC-Estimate'!I30 • Rate from Buyout [115]</t>
  </si>
  <si>
    <t>206 - Nails - Framing</t>
  </si>
  <si>
    <t>Nails Framing</t>
  </si>
  <si>
    <t>Nails PLUG = contract − SUM(owner above) • Rate from Buyout [206]</t>
  </si>
  <si>
    <t>201 - Lumber - Material</t>
  </si>
  <si>
    <t>Building I Lumber Package - BLDG 1</t>
  </si>
  <si>
    <t>Material</t>
  </si>
  <si>
    <t>Qty: package/derived • Rate from Buyout [201]</t>
  </si>
  <si>
    <t>Building II Lumber Package - BLDG 1</t>
  </si>
  <si>
    <t>205 - Hardware - Material</t>
  </si>
  <si>
    <t>Building I Hardware Package - BLDG 1</t>
  </si>
  <si>
    <t>Qty: package/derived • Rate from Buyout [205]</t>
  </si>
  <si>
    <t>Building II Hardware Package - BLDG 1</t>
  </si>
  <si>
    <t>207 - Trusses - Material</t>
  </si>
  <si>
    <t>Building I Truss Package - BLDG 1</t>
  </si>
  <si>
    <t>Qty: package/derived • Rate from Buyout [207]</t>
  </si>
  <si>
    <t>Building II Truss Package - BLDG 1</t>
  </si>
  <si>
    <t>Owners Invoices</t>
  </si>
  <si>
    <t>Dist/line:</t>
  </si>
  <si>
    <t>#</t>
  </si>
  <si>
    <t>Scope</t>
  </si>
  <si>
    <t>Type</t>
  </si>
  <si>
    <t>Value</t>
  </si>
  <si>
    <t>Total</t>
  </si>
  <si>
    <t>Description</t>
  </si>
  <si>
    <t>Building Type I</t>
  </si>
  <si>
    <t>Building Type II</t>
  </si>
  <si>
    <t>BLDG 1</t>
  </si>
  <si>
    <t>Level 1</t>
  </si>
  <si>
    <t>Level 2</t>
  </si>
  <si>
    <t>Level 3</t>
  </si>
  <si>
    <t>Level 4</t>
  </si>
  <si>
    <t>Level 5</t>
  </si>
  <si>
    <t>Roof</t>
  </si>
  <si>
    <t>Exterior wood stud wall with sheathing</t>
  </si>
  <si>
    <t>House wrap-10'x100' roll size considered</t>
  </si>
  <si>
    <t xml:space="preserve">Corridor Shear wall sheathing -15/32" plywood </t>
  </si>
  <si>
    <t>Demising Shear wall sheathing -15/32" plywood</t>
  </si>
  <si>
    <t>(2) Densglass in btw framing - Stairs</t>
  </si>
  <si>
    <t>(2) 1" Gypsum Shaftliners @ Trash Chute</t>
  </si>
  <si>
    <t xml:space="preserve">Unit floor framing : 20" Deep Truss @ 24" OC </t>
  </si>
  <si>
    <t xml:space="preserve">Corridor floor framing : 20" Deep Truss @ 24" OC </t>
  </si>
  <si>
    <t>Balcony floor framing :  Pre-fab @ 24"OC</t>
  </si>
  <si>
    <t>L Shaped Balcony floor framing : Pre-fab @ 24"OC</t>
  </si>
  <si>
    <t>C Shaped Balcony floor framing : Pre-fab @ 24"OC</t>
  </si>
  <si>
    <t>Roof framing : Pre-fab @ 24"OC</t>
  </si>
  <si>
    <t>Draftstopping @ Unit Floor Truss - Plywood (Assumed)</t>
  </si>
  <si>
    <t>Draftstopping @ Roof Truss - Plywood (Assumed)</t>
  </si>
  <si>
    <t>Balcony Doors</t>
  </si>
  <si>
    <t>EA</t>
  </si>
  <si>
    <t>No of Regular balconies</t>
  </si>
  <si>
    <t>No of L Shaped Balconies</t>
  </si>
  <si>
    <t>No of C Shaped Balconies</t>
  </si>
  <si>
    <t>Windows Double</t>
  </si>
  <si>
    <t>Windows Single</t>
  </si>
  <si>
    <t>Exterior Entry Doors</t>
  </si>
  <si>
    <t>Patio doors</t>
  </si>
  <si>
    <t>Wood Column Posts</t>
  </si>
  <si>
    <t>Wood Landings</t>
  </si>
  <si>
    <t>GSF</t>
  </si>
  <si>
    <t>Their GSF</t>
  </si>
  <si>
    <t>Difff</t>
  </si>
  <si>
    <t>Total GSF</t>
  </si>
  <si>
    <t>Total with GSF</t>
  </si>
  <si>
    <t>Total without GSF</t>
  </si>
  <si>
    <t>Internal Estimate</t>
  </si>
  <si>
    <t>Company</t>
  </si>
  <si>
    <t>Unit cost</t>
  </si>
  <si>
    <t>Total Cost</t>
  </si>
  <si>
    <t>Layout</t>
  </si>
  <si>
    <t>Framing</t>
  </si>
  <si>
    <t>Floor Truss - Unit - Prefabricated</t>
  </si>
  <si>
    <t>Floor Truss - Corridor -  Prefabricated</t>
  </si>
  <si>
    <t>Balcony - Regular - Hand Framed</t>
  </si>
  <si>
    <t>Each</t>
  </si>
  <si>
    <t xml:space="preserve">Balcony - L Shaped - Hand Framed </t>
  </si>
  <si>
    <t xml:space="preserve">Balcony - C Shaped - Hand Framed </t>
  </si>
  <si>
    <t>Stairs - Landings</t>
  </si>
  <si>
    <t>Roof Truss</t>
  </si>
  <si>
    <t xml:space="preserve">Sheathing - Exterior </t>
  </si>
  <si>
    <t>Shear Wall - Corridor - 15/32 Plywood</t>
  </si>
  <si>
    <t>Sheets</t>
  </si>
  <si>
    <t>Shear Wall - Demising - 15/32 Plywood</t>
  </si>
  <si>
    <t>Fire Wall - Stair Well Shaft - (2) Layers Densglass Btw Framing</t>
  </si>
  <si>
    <t>Fire Wall - Trash Chute - (2) Layers 1" Gypsum Bts Framing</t>
  </si>
  <si>
    <t>Hardware</t>
  </si>
  <si>
    <t>Punchout</t>
  </si>
  <si>
    <t>Nails</t>
  </si>
  <si>
    <t>Capsol, Inc</t>
  </si>
  <si>
    <t>Hotels</t>
  </si>
  <si>
    <t>Month</t>
  </si>
  <si>
    <t>Base Cost</t>
  </si>
  <si>
    <t>Cost / SF</t>
  </si>
  <si>
    <t>Sell Price</t>
  </si>
  <si>
    <t>Price / SF</t>
  </si>
  <si>
    <t>Base Gross Profit</t>
  </si>
  <si>
    <t>P/L Margin</t>
  </si>
  <si>
    <t>ROI</t>
  </si>
  <si>
    <t>Buy-Out</t>
  </si>
  <si>
    <t xml:space="preserve">Total Labor Builder Cost </t>
  </si>
  <si>
    <t>Total Labor Client cost</t>
  </si>
  <si>
    <t xml:space="preserve">Total Material Builder Cost </t>
  </si>
  <si>
    <t>Total Material Client cost</t>
  </si>
  <si>
    <t>Scope - Rough Carpentry</t>
  </si>
  <si>
    <t>Rate</t>
  </si>
  <si>
    <t>Cost</t>
  </si>
  <si>
    <t>P/L</t>
  </si>
  <si>
    <t>SF Price</t>
  </si>
  <si>
    <t>Waste</t>
  </si>
  <si>
    <t>Labor Package</t>
  </si>
  <si>
    <t>Hardware - Material</t>
  </si>
  <si>
    <t>Lumber - Material</t>
  </si>
  <si>
    <t>Engineered Wood - Material</t>
  </si>
  <si>
    <t xml:space="preserve">Recived Quote from Zane </t>
  </si>
  <si>
    <t>Truss Package - Material</t>
  </si>
  <si>
    <t>Building Wrap - Labor</t>
  </si>
  <si>
    <t>Building Wrap - Material</t>
  </si>
  <si>
    <t>Add Options</t>
  </si>
  <si>
    <t>Temporary Stair (Single) - Labor &amp; Material</t>
  </si>
  <si>
    <t>TA</t>
  </si>
  <si>
    <t>Hardware - Survey &amp; Oversee Wetset Hardware</t>
  </si>
  <si>
    <t>Textura Payment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</si>
</sst>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\ * #,##0.00_ ;_ &quot;$&quot;\ * \-#,##0.00_ ;_ &quot;$&quot;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54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44" fontId="1" fillId="2" borderId="0" xfId="1" applyFont="1" applyFill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C1" workbookViewId="0">
      <selection activeCell="J2" sqref="J2:J25"/>
    </sheetView>
  </sheetViews>
  <sheetFormatPr defaultRowHeight="14.25" x14ac:dyDescent="0.45"/>
  <cols>
    <col min="1" max="1" width="25" customWidth="1"/>
    <col min="2" max="2" width="27" customWidth="1"/>
    <col min="3" max="3" width="39" customWidth="1"/>
    <col min="4" max="5" width="11" customWidth="1"/>
    <col min="6" max="6" width="21" customWidth="1"/>
    <col min="7" max="7" width="8" customWidth="1"/>
    <col min="8" max="8" width="14" style="5" customWidth="1"/>
    <col min="9" max="9" width="14" customWidth="1"/>
    <col min="10" max="10" width="26" style="5" customWidth="1"/>
    <col min="11" max="11" width="14" customWidth="1"/>
    <col min="12" max="12" width="11" customWidth="1"/>
    <col min="13" max="13" width="5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t="s">
        <v>13</v>
      </c>
      <c r="B2" t="s">
        <v>14</v>
      </c>
      <c r="C2" t="s">
        <v>15</v>
      </c>
      <c r="D2" t="s">
        <v>16</v>
      </c>
      <c r="E2">
        <v>18000</v>
      </c>
      <c r="F2">
        <v>4</v>
      </c>
      <c r="G2" t="s">
        <v>17</v>
      </c>
      <c r="H2" s="5">
        <f t="shared" ref="H2:H25" si="0">E2*F2</f>
        <v>72000</v>
      </c>
      <c r="I2">
        <v>0.2</v>
      </c>
      <c r="J2" s="5">
        <f t="shared" ref="J2:J18" si="1">H2*(1+I2)</f>
        <v>86400</v>
      </c>
      <c r="K2">
        <f t="shared" ref="K2:K25" si="2">J2*3%</f>
        <v>2592</v>
      </c>
      <c r="L2">
        <f t="shared" ref="L2:L25" si="3">J2-K2</f>
        <v>83808</v>
      </c>
      <c r="M2" t="s">
        <v>18</v>
      </c>
    </row>
    <row r="3" spans="1:13" x14ac:dyDescent="0.45">
      <c r="A3" t="s">
        <v>13</v>
      </c>
      <c r="B3" t="s">
        <v>19</v>
      </c>
      <c r="C3" t="s">
        <v>20</v>
      </c>
      <c r="D3" t="s">
        <v>16</v>
      </c>
      <c r="E3">
        <v>1500</v>
      </c>
      <c r="F3">
        <v>4</v>
      </c>
      <c r="G3" t="s">
        <v>17</v>
      </c>
      <c r="H3" s="5">
        <f t="shared" si="0"/>
        <v>6000</v>
      </c>
      <c r="I3">
        <v>0.2</v>
      </c>
      <c r="J3" s="5">
        <f t="shared" si="1"/>
        <v>7200</v>
      </c>
      <c r="K3">
        <f t="shared" si="2"/>
        <v>216</v>
      </c>
      <c r="L3">
        <f t="shared" si="3"/>
        <v>6984</v>
      </c>
      <c r="M3" t="s">
        <v>21</v>
      </c>
    </row>
    <row r="4" spans="1:13" x14ac:dyDescent="0.45">
      <c r="A4" t="s">
        <v>13</v>
      </c>
      <c r="B4" t="s">
        <v>22</v>
      </c>
      <c r="C4" t="s">
        <v>23</v>
      </c>
      <c r="D4" t="s">
        <v>16</v>
      </c>
      <c r="E4">
        <v>15000</v>
      </c>
      <c r="F4">
        <v>4</v>
      </c>
      <c r="G4" t="s">
        <v>17</v>
      </c>
      <c r="H4" s="5">
        <f t="shared" si="0"/>
        <v>60000</v>
      </c>
      <c r="I4">
        <v>0.2</v>
      </c>
      <c r="J4" s="5">
        <f t="shared" si="1"/>
        <v>72000</v>
      </c>
      <c r="K4">
        <f t="shared" si="2"/>
        <v>2160</v>
      </c>
      <c r="L4">
        <f t="shared" si="3"/>
        <v>69840</v>
      </c>
      <c r="M4" t="s">
        <v>24</v>
      </c>
    </row>
    <row r="5" spans="1:13" x14ac:dyDescent="0.45">
      <c r="A5" t="s">
        <v>13</v>
      </c>
      <c r="B5" t="s">
        <v>25</v>
      </c>
      <c r="C5" t="s">
        <v>26</v>
      </c>
      <c r="D5" t="s">
        <v>27</v>
      </c>
      <c r="E5">
        <v>8000</v>
      </c>
      <c r="F5">
        <v>4</v>
      </c>
      <c r="G5" t="s">
        <v>17</v>
      </c>
      <c r="H5" s="5">
        <f t="shared" si="0"/>
        <v>32000</v>
      </c>
      <c r="I5">
        <v>0.2</v>
      </c>
      <c r="J5" s="5">
        <f t="shared" si="1"/>
        <v>38400</v>
      </c>
      <c r="K5">
        <f t="shared" si="2"/>
        <v>1152</v>
      </c>
      <c r="L5">
        <f t="shared" si="3"/>
        <v>37248</v>
      </c>
      <c r="M5" t="s">
        <v>28</v>
      </c>
    </row>
    <row r="6" spans="1:13" x14ac:dyDescent="0.45">
      <c r="A6" t="s">
        <v>13</v>
      </c>
      <c r="B6" t="s">
        <v>29</v>
      </c>
      <c r="C6" t="s">
        <v>30</v>
      </c>
      <c r="D6" t="s">
        <v>27</v>
      </c>
      <c r="E6">
        <v>7000</v>
      </c>
      <c r="F6">
        <v>4</v>
      </c>
      <c r="G6" t="s">
        <v>17</v>
      </c>
      <c r="H6" s="5">
        <f t="shared" si="0"/>
        <v>28000</v>
      </c>
      <c r="I6">
        <v>0.2</v>
      </c>
      <c r="J6" s="5">
        <f t="shared" si="1"/>
        <v>33600</v>
      </c>
      <c r="K6">
        <f t="shared" si="2"/>
        <v>1008</v>
      </c>
      <c r="L6">
        <f t="shared" si="3"/>
        <v>32592</v>
      </c>
      <c r="M6" t="s">
        <v>31</v>
      </c>
    </row>
    <row r="7" spans="1:13" x14ac:dyDescent="0.45">
      <c r="A7" t="s">
        <v>13</v>
      </c>
      <c r="B7" t="s">
        <v>32</v>
      </c>
      <c r="C7" t="s">
        <v>33</v>
      </c>
      <c r="D7" t="s">
        <v>27</v>
      </c>
      <c r="E7">
        <v>50000</v>
      </c>
      <c r="F7">
        <v>1</v>
      </c>
      <c r="G7" t="s">
        <v>34</v>
      </c>
      <c r="H7" s="5">
        <f t="shared" si="0"/>
        <v>50000</v>
      </c>
      <c r="I7">
        <v>0.2</v>
      </c>
      <c r="J7" s="5">
        <f t="shared" si="1"/>
        <v>60000</v>
      </c>
      <c r="K7">
        <f t="shared" si="2"/>
        <v>1800</v>
      </c>
      <c r="L7">
        <f t="shared" si="3"/>
        <v>58200</v>
      </c>
      <c r="M7" t="s">
        <v>35</v>
      </c>
    </row>
    <row r="8" spans="1:13" x14ac:dyDescent="0.45">
      <c r="A8" t="s">
        <v>13</v>
      </c>
      <c r="B8" t="s">
        <v>36</v>
      </c>
      <c r="C8" t="s">
        <v>37</v>
      </c>
      <c r="D8" t="s">
        <v>16</v>
      </c>
      <c r="E8">
        <v>1750</v>
      </c>
      <c r="F8">
        <v>4</v>
      </c>
      <c r="G8" t="s">
        <v>17</v>
      </c>
      <c r="H8" s="5">
        <f t="shared" si="0"/>
        <v>7000</v>
      </c>
      <c r="I8">
        <v>0.2</v>
      </c>
      <c r="J8" s="5">
        <f t="shared" si="1"/>
        <v>8400</v>
      </c>
      <c r="K8">
        <f t="shared" si="2"/>
        <v>252</v>
      </c>
      <c r="L8">
        <f t="shared" si="3"/>
        <v>8148</v>
      </c>
      <c r="M8" t="s">
        <v>38</v>
      </c>
    </row>
    <row r="9" spans="1:13" x14ac:dyDescent="0.45">
      <c r="A9" t="s">
        <v>39</v>
      </c>
      <c r="B9" t="s">
        <v>40</v>
      </c>
      <c r="C9" t="s">
        <v>41</v>
      </c>
      <c r="D9" t="s">
        <v>42</v>
      </c>
      <c r="E9">
        <v>0.25</v>
      </c>
      <c r="F9">
        <f>'SRC-Estimate'!C30</f>
        <v>25197</v>
      </c>
      <c r="G9" t="s">
        <v>34</v>
      </c>
      <c r="H9" s="5">
        <f t="shared" si="0"/>
        <v>6299.25</v>
      </c>
      <c r="I9">
        <v>1.8</v>
      </c>
      <c r="J9" s="5">
        <f t="shared" si="1"/>
        <v>17637.899999999998</v>
      </c>
      <c r="K9">
        <f t="shared" si="2"/>
        <v>529.13699999999994</v>
      </c>
      <c r="L9">
        <f t="shared" si="3"/>
        <v>17108.762999999999</v>
      </c>
      <c r="M9" t="s">
        <v>43</v>
      </c>
    </row>
    <row r="10" spans="1:13" x14ac:dyDescent="0.45">
      <c r="A10" t="s">
        <v>39</v>
      </c>
      <c r="B10" t="s">
        <v>40</v>
      </c>
      <c r="C10" t="s">
        <v>44</v>
      </c>
      <c r="D10" t="s">
        <v>42</v>
      </c>
      <c r="E10">
        <v>0.25</v>
      </c>
      <c r="F10">
        <f>'SRC-Estimate'!I30</f>
        <v>25375</v>
      </c>
      <c r="G10" t="s">
        <v>34</v>
      </c>
      <c r="H10" s="5">
        <f t="shared" si="0"/>
        <v>6343.75</v>
      </c>
      <c r="I10">
        <v>1.8</v>
      </c>
      <c r="J10" s="5">
        <f t="shared" si="1"/>
        <v>17762.5</v>
      </c>
      <c r="K10">
        <f t="shared" si="2"/>
        <v>532.875</v>
      </c>
      <c r="L10">
        <f t="shared" si="3"/>
        <v>17229.625</v>
      </c>
      <c r="M10" t="s">
        <v>45</v>
      </c>
    </row>
    <row r="11" spans="1:13" x14ac:dyDescent="0.45">
      <c r="A11" t="s">
        <v>39</v>
      </c>
      <c r="B11" t="s">
        <v>46</v>
      </c>
      <c r="C11" t="s">
        <v>47</v>
      </c>
      <c r="D11" t="s">
        <v>42</v>
      </c>
      <c r="E11">
        <v>1.1000000000000001</v>
      </c>
      <c r="F11">
        <f>'SRC-Estimate'!C30</f>
        <v>25197</v>
      </c>
      <c r="G11" t="s">
        <v>34</v>
      </c>
      <c r="H11" s="5">
        <f t="shared" si="0"/>
        <v>27716.7</v>
      </c>
      <c r="I11">
        <v>1.5</v>
      </c>
      <c r="J11" s="5">
        <f t="shared" si="1"/>
        <v>69291.75</v>
      </c>
      <c r="K11">
        <f t="shared" si="2"/>
        <v>2078.7525000000001</v>
      </c>
      <c r="L11">
        <f t="shared" si="3"/>
        <v>67212.997499999998</v>
      </c>
      <c r="M11" t="s">
        <v>48</v>
      </c>
    </row>
    <row r="12" spans="1:13" x14ac:dyDescent="0.45">
      <c r="A12" t="s">
        <v>39</v>
      </c>
      <c r="B12" t="s">
        <v>46</v>
      </c>
      <c r="C12" t="s">
        <v>49</v>
      </c>
      <c r="D12" t="s">
        <v>42</v>
      </c>
      <c r="E12">
        <v>1.1000000000000001</v>
      </c>
      <c r="F12">
        <f>'SRC-Estimate'!I30</f>
        <v>25375</v>
      </c>
      <c r="G12" t="s">
        <v>34</v>
      </c>
      <c r="H12" s="5">
        <f t="shared" si="0"/>
        <v>27912.500000000004</v>
      </c>
      <c r="I12">
        <v>1.5</v>
      </c>
      <c r="J12" s="5">
        <f t="shared" si="1"/>
        <v>69781.250000000015</v>
      </c>
      <c r="K12">
        <f t="shared" si="2"/>
        <v>2093.4375000000005</v>
      </c>
      <c r="L12">
        <f t="shared" si="3"/>
        <v>67687.812500000015</v>
      </c>
      <c r="M12" t="s">
        <v>50</v>
      </c>
    </row>
    <row r="13" spans="1:13" x14ac:dyDescent="0.45">
      <c r="A13" t="s">
        <v>39</v>
      </c>
      <c r="B13" t="s">
        <v>51</v>
      </c>
      <c r="C13" t="s">
        <v>52</v>
      </c>
      <c r="D13" t="s">
        <v>42</v>
      </c>
      <c r="E13">
        <v>0.25</v>
      </c>
      <c r="F13">
        <f>'SRC-Estimate'!C30</f>
        <v>25197</v>
      </c>
      <c r="G13" t="s">
        <v>34</v>
      </c>
      <c r="H13" s="5">
        <f t="shared" si="0"/>
        <v>6299.25</v>
      </c>
      <c r="I13">
        <v>1.2</v>
      </c>
      <c r="J13" s="5">
        <f t="shared" si="1"/>
        <v>13858.35</v>
      </c>
      <c r="K13">
        <f t="shared" si="2"/>
        <v>415.75049999999999</v>
      </c>
      <c r="L13">
        <f t="shared" si="3"/>
        <v>13442.5995</v>
      </c>
      <c r="M13" t="s">
        <v>53</v>
      </c>
    </row>
    <row r="14" spans="1:13" x14ac:dyDescent="0.45">
      <c r="A14" t="s">
        <v>39</v>
      </c>
      <c r="B14" t="s">
        <v>51</v>
      </c>
      <c r="C14" t="s">
        <v>54</v>
      </c>
      <c r="D14" t="s">
        <v>42</v>
      </c>
      <c r="E14">
        <v>0.25</v>
      </c>
      <c r="F14">
        <f>'SRC-Estimate'!I30</f>
        <v>25375</v>
      </c>
      <c r="G14" t="s">
        <v>34</v>
      </c>
      <c r="H14" s="5">
        <f t="shared" si="0"/>
        <v>6343.75</v>
      </c>
      <c r="I14">
        <v>1.2</v>
      </c>
      <c r="J14" s="5">
        <f t="shared" si="1"/>
        <v>13956.250000000002</v>
      </c>
      <c r="K14">
        <f t="shared" si="2"/>
        <v>418.68750000000006</v>
      </c>
      <c r="L14">
        <f t="shared" si="3"/>
        <v>13537.562500000002</v>
      </c>
      <c r="M14" t="s">
        <v>55</v>
      </c>
    </row>
    <row r="15" spans="1:13" x14ac:dyDescent="0.45">
      <c r="A15" t="s">
        <v>39</v>
      </c>
      <c r="B15" t="s">
        <v>56</v>
      </c>
      <c r="C15" t="s">
        <v>57</v>
      </c>
      <c r="D15" t="s">
        <v>42</v>
      </c>
      <c r="E15">
        <v>0.25</v>
      </c>
      <c r="F15">
        <f>'SRC-Estimate'!C30</f>
        <v>25197</v>
      </c>
      <c r="G15" t="s">
        <v>34</v>
      </c>
      <c r="H15" s="5">
        <f t="shared" si="0"/>
        <v>6299.25</v>
      </c>
      <c r="I15">
        <v>0.75</v>
      </c>
      <c r="J15" s="5">
        <f t="shared" si="1"/>
        <v>11023.6875</v>
      </c>
      <c r="K15">
        <f t="shared" si="2"/>
        <v>330.71062499999999</v>
      </c>
      <c r="L15">
        <f t="shared" si="3"/>
        <v>10692.976875</v>
      </c>
      <c r="M15" t="s">
        <v>58</v>
      </c>
    </row>
    <row r="16" spans="1:13" x14ac:dyDescent="0.45">
      <c r="A16" t="s">
        <v>39</v>
      </c>
      <c r="B16" t="s">
        <v>56</v>
      </c>
      <c r="C16" t="s">
        <v>59</v>
      </c>
      <c r="D16" t="s">
        <v>42</v>
      </c>
      <c r="E16">
        <v>0.25</v>
      </c>
      <c r="F16">
        <f>'SRC-Estimate'!I30</f>
        <v>25375</v>
      </c>
      <c r="G16" t="s">
        <v>34</v>
      </c>
      <c r="H16" s="5">
        <f t="shared" si="0"/>
        <v>6343.75</v>
      </c>
      <c r="I16">
        <v>0.75</v>
      </c>
      <c r="J16" s="5">
        <f t="shared" si="1"/>
        <v>11101.5625</v>
      </c>
      <c r="K16">
        <f t="shared" si="2"/>
        <v>333.046875</v>
      </c>
      <c r="L16">
        <f t="shared" si="3"/>
        <v>10768.515625</v>
      </c>
      <c r="M16" t="s">
        <v>60</v>
      </c>
    </row>
    <row r="17" spans="1:13" x14ac:dyDescent="0.45">
      <c r="A17" t="s">
        <v>39</v>
      </c>
      <c r="B17" t="s">
        <v>61</v>
      </c>
      <c r="C17" t="s">
        <v>62</v>
      </c>
      <c r="D17" t="s">
        <v>42</v>
      </c>
      <c r="E17">
        <v>0.2</v>
      </c>
      <c r="F17">
        <f>'SRC-Estimate'!C30</f>
        <v>25197</v>
      </c>
      <c r="G17" t="s">
        <v>34</v>
      </c>
      <c r="H17" s="5">
        <f t="shared" si="0"/>
        <v>5039.4000000000005</v>
      </c>
      <c r="I17">
        <v>0.6</v>
      </c>
      <c r="J17" s="5">
        <f t="shared" si="1"/>
        <v>8063.0400000000009</v>
      </c>
      <c r="K17">
        <f t="shared" si="2"/>
        <v>241.89120000000003</v>
      </c>
      <c r="L17">
        <f t="shared" si="3"/>
        <v>7821.1488000000008</v>
      </c>
      <c r="M17" t="s">
        <v>63</v>
      </c>
    </row>
    <row r="18" spans="1:13" x14ac:dyDescent="0.45">
      <c r="A18" t="s">
        <v>39</v>
      </c>
      <c r="B18" t="s">
        <v>61</v>
      </c>
      <c r="C18" t="s">
        <v>64</v>
      </c>
      <c r="D18" t="s">
        <v>42</v>
      </c>
      <c r="E18">
        <v>0.2</v>
      </c>
      <c r="F18">
        <f>'SRC-Estimate'!I30</f>
        <v>25375</v>
      </c>
      <c r="G18" t="s">
        <v>34</v>
      </c>
      <c r="H18" s="5">
        <f t="shared" si="0"/>
        <v>5075</v>
      </c>
      <c r="I18">
        <v>0.6</v>
      </c>
      <c r="J18" s="5">
        <f t="shared" si="1"/>
        <v>8120</v>
      </c>
      <c r="K18">
        <f t="shared" si="2"/>
        <v>243.6</v>
      </c>
      <c r="L18">
        <f t="shared" si="3"/>
        <v>7876.4</v>
      </c>
      <c r="M18" t="s">
        <v>65</v>
      </c>
    </row>
    <row r="19" spans="1:13" x14ac:dyDescent="0.45">
      <c r="A19" t="s">
        <v>39</v>
      </c>
      <c r="B19" t="s">
        <v>66</v>
      </c>
      <c r="C19" t="s">
        <v>67</v>
      </c>
      <c r="D19" t="s">
        <v>42</v>
      </c>
      <c r="E19">
        <v>0.65</v>
      </c>
      <c r="F19">
        <v>50572</v>
      </c>
      <c r="G19" t="s">
        <v>34</v>
      </c>
      <c r="H19" s="5">
        <f t="shared" si="0"/>
        <v>32871.800000000003</v>
      </c>
      <c r="I19">
        <f>(J19/H19)-1</f>
        <v>43.740279570939215</v>
      </c>
      <c r="J19" s="5">
        <f>2017289.812-SUM(J2:J18)</f>
        <v>1470693.5219999999</v>
      </c>
      <c r="K19">
        <f t="shared" si="2"/>
        <v>44120.805659999998</v>
      </c>
      <c r="L19">
        <f t="shared" si="3"/>
        <v>1426572.7163399998</v>
      </c>
      <c r="M19" t="s">
        <v>68</v>
      </c>
    </row>
    <row r="20" spans="1:13" x14ac:dyDescent="0.45">
      <c r="A20" t="s">
        <v>39</v>
      </c>
      <c r="B20" t="s">
        <v>69</v>
      </c>
      <c r="C20" t="s">
        <v>70</v>
      </c>
      <c r="D20" t="s">
        <v>71</v>
      </c>
      <c r="E20">
        <v>29.661000000000001</v>
      </c>
      <c r="F20">
        <v>25197</v>
      </c>
      <c r="G20" t="s">
        <v>34</v>
      </c>
      <c r="H20" s="5">
        <f t="shared" si="0"/>
        <v>747368.21700000006</v>
      </c>
      <c r="I20">
        <v>0.36670000000000003</v>
      </c>
      <c r="J20" s="5">
        <f t="shared" ref="J20:J25" si="4">H20*(1+I20)</f>
        <v>1021428.1421739002</v>
      </c>
      <c r="K20">
        <f t="shared" si="2"/>
        <v>30642.844265217005</v>
      </c>
      <c r="L20">
        <f t="shared" si="3"/>
        <v>990785.29790868319</v>
      </c>
      <c r="M20" t="s">
        <v>72</v>
      </c>
    </row>
    <row r="21" spans="1:13" x14ac:dyDescent="0.45">
      <c r="A21" t="s">
        <v>39</v>
      </c>
      <c r="B21" t="s">
        <v>69</v>
      </c>
      <c r="C21" t="s">
        <v>73</v>
      </c>
      <c r="D21" t="s">
        <v>71</v>
      </c>
      <c r="E21">
        <v>29.661000000000001</v>
      </c>
      <c r="F21">
        <v>25375</v>
      </c>
      <c r="G21" t="s">
        <v>34</v>
      </c>
      <c r="H21" s="5">
        <f t="shared" si="0"/>
        <v>752647.875</v>
      </c>
      <c r="I21">
        <v>0.36670000000000003</v>
      </c>
      <c r="J21" s="5">
        <f t="shared" si="4"/>
        <v>1028643.8507625</v>
      </c>
      <c r="K21">
        <f t="shared" si="2"/>
        <v>30859.315522874997</v>
      </c>
      <c r="L21">
        <f t="shared" si="3"/>
        <v>997784.53523962502</v>
      </c>
      <c r="M21" t="s">
        <v>72</v>
      </c>
    </row>
    <row r="22" spans="1:13" x14ac:dyDescent="0.45">
      <c r="A22" t="s">
        <v>39</v>
      </c>
      <c r="B22" t="s">
        <v>74</v>
      </c>
      <c r="C22" t="s">
        <v>75</v>
      </c>
      <c r="D22" t="s">
        <v>71</v>
      </c>
      <c r="E22">
        <v>3.1640000000000001</v>
      </c>
      <c r="F22">
        <v>25197</v>
      </c>
      <c r="G22" t="s">
        <v>34</v>
      </c>
      <c r="H22" s="5">
        <f t="shared" si="0"/>
        <v>79723.308000000005</v>
      </c>
      <c r="I22">
        <v>0.15620000000000001</v>
      </c>
      <c r="J22" s="5">
        <f t="shared" si="4"/>
        <v>92176.088709600008</v>
      </c>
      <c r="K22">
        <f t="shared" si="2"/>
        <v>2765.2826612880003</v>
      </c>
      <c r="L22">
        <f t="shared" si="3"/>
        <v>89410.806048312006</v>
      </c>
      <c r="M22" t="s">
        <v>76</v>
      </c>
    </row>
    <row r="23" spans="1:13" x14ac:dyDescent="0.45">
      <c r="A23" t="s">
        <v>39</v>
      </c>
      <c r="B23" t="s">
        <v>74</v>
      </c>
      <c r="C23" t="s">
        <v>77</v>
      </c>
      <c r="D23" t="s">
        <v>71</v>
      </c>
      <c r="E23">
        <v>3.1640000000000001</v>
      </c>
      <c r="F23">
        <v>25375</v>
      </c>
      <c r="G23" t="s">
        <v>34</v>
      </c>
      <c r="H23" s="5">
        <f t="shared" si="0"/>
        <v>80286.5</v>
      </c>
      <c r="I23">
        <v>0.15620000000000001</v>
      </c>
      <c r="J23" s="5">
        <f t="shared" si="4"/>
        <v>92827.251300000004</v>
      </c>
      <c r="K23">
        <f t="shared" si="2"/>
        <v>2784.8175390000001</v>
      </c>
      <c r="L23">
        <f t="shared" si="3"/>
        <v>90042.433761000008</v>
      </c>
      <c r="M23" t="s">
        <v>76</v>
      </c>
    </row>
    <row r="24" spans="1:13" x14ac:dyDescent="0.45">
      <c r="A24" t="s">
        <v>39</v>
      </c>
      <c r="B24" t="s">
        <v>78</v>
      </c>
      <c r="C24" t="s">
        <v>79</v>
      </c>
      <c r="D24" t="s">
        <v>71</v>
      </c>
      <c r="E24">
        <v>13.486000000000001</v>
      </c>
      <c r="F24">
        <v>25197</v>
      </c>
      <c r="G24" t="s">
        <v>34</v>
      </c>
      <c r="H24" s="5">
        <f t="shared" si="0"/>
        <v>339806.74200000003</v>
      </c>
      <c r="I24">
        <v>0.1804</v>
      </c>
      <c r="J24" s="5">
        <f t="shared" si="4"/>
        <v>401107.87825680006</v>
      </c>
      <c r="K24">
        <f t="shared" si="2"/>
        <v>12033.236347704002</v>
      </c>
      <c r="L24">
        <f t="shared" si="3"/>
        <v>389074.64190909604</v>
      </c>
      <c r="M24" t="s">
        <v>80</v>
      </c>
    </row>
    <row r="25" spans="1:13" x14ac:dyDescent="0.45">
      <c r="A25" t="s">
        <v>39</v>
      </c>
      <c r="B25" t="s">
        <v>78</v>
      </c>
      <c r="C25" t="s">
        <v>81</v>
      </c>
      <c r="D25" t="s">
        <v>71</v>
      </c>
      <c r="E25">
        <v>13.486000000000001</v>
      </c>
      <c r="F25">
        <v>25375</v>
      </c>
      <c r="G25" t="s">
        <v>34</v>
      </c>
      <c r="H25" s="5">
        <f t="shared" si="0"/>
        <v>342207.25</v>
      </c>
      <c r="I25">
        <v>0.1804</v>
      </c>
      <c r="J25" s="5">
        <f t="shared" si="4"/>
        <v>403941.43790000002</v>
      </c>
      <c r="K25">
        <f t="shared" si="2"/>
        <v>12118.243136999999</v>
      </c>
      <c r="L25">
        <f t="shared" si="3"/>
        <v>391823.19476300001</v>
      </c>
      <c r="M25" t="s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defaultRowHeight="14.25" x14ac:dyDescent="0.45"/>
  <cols>
    <col min="1" max="1" width="17" customWidth="1"/>
    <col min="2" max="2" width="39" customWidth="1"/>
    <col min="3" max="3" width="10" customWidth="1"/>
    <col min="4" max="4" width="45" customWidth="1"/>
    <col min="5" max="7" width="12" customWidth="1"/>
  </cols>
  <sheetData>
    <row r="1" spans="1:7" ht="16.899999999999999" x14ac:dyDescent="0.5">
      <c r="A1" s="2" t="s">
        <v>82</v>
      </c>
      <c r="F1" t="s">
        <v>83</v>
      </c>
      <c r="G1">
        <v>107712.04399999999</v>
      </c>
    </row>
    <row r="2" spans="1:7" x14ac:dyDescent="0.45">
      <c r="A2" s="1" t="s">
        <v>84</v>
      </c>
      <c r="B2" s="1" t="s">
        <v>85</v>
      </c>
      <c r="C2" s="1" t="s">
        <v>86</v>
      </c>
      <c r="D2" s="1" t="s">
        <v>87</v>
      </c>
    </row>
    <row r="3" spans="1:7" x14ac:dyDescent="0.45">
      <c r="A3">
        <v>1</v>
      </c>
      <c r="B3" t="s">
        <v>10</v>
      </c>
      <c r="D3">
        <f>SUM('BT Estimate'!K2:K25)</f>
        <v>151722.43383308401</v>
      </c>
    </row>
    <row r="4" spans="1:7" x14ac:dyDescent="0.45">
      <c r="A4">
        <v>2</v>
      </c>
      <c r="B4" t="s">
        <v>41</v>
      </c>
      <c r="C4" t="s">
        <v>42</v>
      </c>
      <c r="D4">
        <f>VLOOKUP(B4,'BT Estimate'!C:L,10,FALSE)+$G$1</f>
        <v>124820.807</v>
      </c>
    </row>
    <row r="5" spans="1:7" x14ac:dyDescent="0.45">
      <c r="A5">
        <v>3</v>
      </c>
      <c r="B5" t="s">
        <v>44</v>
      </c>
      <c r="C5" t="s">
        <v>42</v>
      </c>
      <c r="D5">
        <f>VLOOKUP(B5,'BT Estimate'!C:L,10,FALSE)+$G$1</f>
        <v>124941.66899999999</v>
      </c>
    </row>
    <row r="6" spans="1:7" x14ac:dyDescent="0.45">
      <c r="A6">
        <v>4</v>
      </c>
      <c r="B6" t="s">
        <v>47</v>
      </c>
      <c r="C6" t="s">
        <v>42</v>
      </c>
      <c r="D6">
        <f>VLOOKUP(B6,'BT Estimate'!C:L,10,FALSE)+$G$1</f>
        <v>174925.04149999999</v>
      </c>
    </row>
    <row r="7" spans="1:7" x14ac:dyDescent="0.45">
      <c r="A7">
        <v>5</v>
      </c>
      <c r="B7" t="s">
        <v>49</v>
      </c>
      <c r="C7" t="s">
        <v>42</v>
      </c>
      <c r="D7">
        <f>VLOOKUP(B7,'BT Estimate'!C:L,10,FALSE)+$G$1</f>
        <v>175399.85649999999</v>
      </c>
    </row>
    <row r="8" spans="1:7" x14ac:dyDescent="0.45">
      <c r="A8">
        <v>6</v>
      </c>
      <c r="B8" t="s">
        <v>52</v>
      </c>
      <c r="C8" t="s">
        <v>42</v>
      </c>
      <c r="D8">
        <f>VLOOKUP(B8,'BT Estimate'!C:L,10,FALSE)+$G$1</f>
        <v>121154.64349999999</v>
      </c>
    </row>
    <row r="9" spans="1:7" x14ac:dyDescent="0.45">
      <c r="A9">
        <v>7</v>
      </c>
      <c r="B9" t="s">
        <v>54</v>
      </c>
      <c r="C9" t="s">
        <v>42</v>
      </c>
      <c r="D9">
        <f>VLOOKUP(B9,'BT Estimate'!C:L,10,FALSE)+$G$1</f>
        <v>121249.60649999999</v>
      </c>
    </row>
    <row r="10" spans="1:7" x14ac:dyDescent="0.45">
      <c r="A10">
        <v>8</v>
      </c>
      <c r="B10" t="s">
        <v>57</v>
      </c>
      <c r="C10" t="s">
        <v>42</v>
      </c>
      <c r="D10">
        <f>VLOOKUP(B10,'BT Estimate'!C:L,10,FALSE)+$G$1</f>
        <v>118405.02087499999</v>
      </c>
    </row>
    <row r="11" spans="1:7" x14ac:dyDescent="0.45">
      <c r="A11">
        <v>9</v>
      </c>
      <c r="B11" t="s">
        <v>59</v>
      </c>
      <c r="C11" t="s">
        <v>42</v>
      </c>
      <c r="D11">
        <f>VLOOKUP(B11,'BT Estimate'!C:L,10,FALSE)+$G$1</f>
        <v>118480.55962499999</v>
      </c>
    </row>
    <row r="12" spans="1:7" x14ac:dyDescent="0.45">
      <c r="A12">
        <v>10</v>
      </c>
      <c r="B12" t="s">
        <v>62</v>
      </c>
      <c r="C12" t="s">
        <v>42</v>
      </c>
      <c r="D12">
        <f>VLOOKUP(B12,'BT Estimate'!C:L,10,FALSE)+$G$1</f>
        <v>115533.19279999999</v>
      </c>
    </row>
    <row r="13" spans="1:7" x14ac:dyDescent="0.45">
      <c r="A13">
        <v>11</v>
      </c>
      <c r="B13" t="s">
        <v>64</v>
      </c>
      <c r="C13" t="s">
        <v>42</v>
      </c>
      <c r="D13">
        <f>VLOOKUP(B13,'BT Estimate'!C:L,10,FALSE)+$G$1</f>
        <v>115588.44399999999</v>
      </c>
    </row>
    <row r="14" spans="1:7" x14ac:dyDescent="0.45">
      <c r="A14">
        <v>12</v>
      </c>
      <c r="B14" t="s">
        <v>70</v>
      </c>
      <c r="C14" t="s">
        <v>71</v>
      </c>
      <c r="D14">
        <f>VLOOKUP(B14,'BT Estimate'!C:L,10,FALSE)+$G$1</f>
        <v>1098497.3419086831</v>
      </c>
    </row>
    <row r="15" spans="1:7" x14ac:dyDescent="0.45">
      <c r="A15">
        <v>13</v>
      </c>
      <c r="B15" t="s">
        <v>73</v>
      </c>
      <c r="C15" t="s">
        <v>71</v>
      </c>
      <c r="D15">
        <f>VLOOKUP(B15,'BT Estimate'!C:L,10,FALSE)+$G$1</f>
        <v>1105496.579239625</v>
      </c>
    </row>
    <row r="16" spans="1:7" x14ac:dyDescent="0.45">
      <c r="A16">
        <v>14</v>
      </c>
      <c r="B16" t="s">
        <v>75</v>
      </c>
      <c r="C16" t="s">
        <v>71</v>
      </c>
      <c r="D16">
        <f>VLOOKUP(B16,'BT Estimate'!C:L,10,FALSE)+$G$1</f>
        <v>197122.85004831199</v>
      </c>
    </row>
    <row r="17" spans="1:4" x14ac:dyDescent="0.45">
      <c r="A17">
        <v>15</v>
      </c>
      <c r="B17" t="s">
        <v>77</v>
      </c>
      <c r="C17" t="s">
        <v>71</v>
      </c>
      <c r="D17">
        <f>VLOOKUP(B17,'BT Estimate'!C:L,10,FALSE)+$G$1</f>
        <v>197754.47776099999</v>
      </c>
    </row>
    <row r="18" spans="1:4" x14ac:dyDescent="0.45">
      <c r="A18">
        <v>16</v>
      </c>
      <c r="B18" t="s">
        <v>79</v>
      </c>
      <c r="C18" t="s">
        <v>71</v>
      </c>
      <c r="D18">
        <f>VLOOKUP(B18,'BT Estimate'!C:L,10,FALSE)+$G$1</f>
        <v>496786.68590909604</v>
      </c>
    </row>
    <row r="19" spans="1:4" x14ac:dyDescent="0.45">
      <c r="A19">
        <v>17</v>
      </c>
      <c r="B19" t="s">
        <v>81</v>
      </c>
      <c r="C19" t="s">
        <v>71</v>
      </c>
      <c r="D19">
        <f>VLOOKUP(B19,'BT Estimate'!C:L,10,FALSE)+$G$1</f>
        <v>499535.238763</v>
      </c>
    </row>
    <row r="21" spans="1:4" x14ac:dyDescent="0.45">
      <c r="C21" s="3" t="s">
        <v>88</v>
      </c>
      <c r="D21" s="3">
        <f>SUM(D3:D19)</f>
        <v>5057414.4487627996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8"/>
  <sheetViews>
    <sheetView workbookViewId="0"/>
  </sheetViews>
  <sheetFormatPr defaultRowHeight="14.25" x14ac:dyDescent="0.45"/>
  <sheetData>
    <row r="1" spans="1:14" x14ac:dyDescent="0.45">
      <c r="A1" t="s">
        <v>89</v>
      </c>
      <c r="B1" t="s">
        <v>6</v>
      </c>
      <c r="C1" t="s">
        <v>90</v>
      </c>
      <c r="I1" t="s">
        <v>91</v>
      </c>
    </row>
    <row r="2" spans="1:14" x14ac:dyDescent="0.45">
      <c r="C2" t="s">
        <v>92</v>
      </c>
      <c r="I2" t="s">
        <v>92</v>
      </c>
    </row>
    <row r="3" spans="1:14" x14ac:dyDescent="0.45">
      <c r="C3" t="s">
        <v>93</v>
      </c>
      <c r="D3" t="s">
        <v>94</v>
      </c>
      <c r="E3" t="s">
        <v>95</v>
      </c>
      <c r="F3" t="s">
        <v>96</v>
      </c>
      <c r="G3" t="s">
        <v>97</v>
      </c>
      <c r="H3" t="s">
        <v>98</v>
      </c>
      <c r="I3" t="s">
        <v>93</v>
      </c>
      <c r="J3" t="s">
        <v>94</v>
      </c>
      <c r="K3" t="s">
        <v>95</v>
      </c>
      <c r="L3" t="s">
        <v>96</v>
      </c>
      <c r="M3" t="s">
        <v>97</v>
      </c>
      <c r="N3" t="s">
        <v>98</v>
      </c>
    </row>
    <row r="4" spans="1:14" x14ac:dyDescent="0.45">
      <c r="A4" t="s">
        <v>99</v>
      </c>
      <c r="B4" t="s">
        <v>34</v>
      </c>
      <c r="C4">
        <v>13143</v>
      </c>
      <c r="D4">
        <v>11820</v>
      </c>
      <c r="E4">
        <v>13248</v>
      </c>
      <c r="F4">
        <v>11460</v>
      </c>
      <c r="G4">
        <v>12415</v>
      </c>
      <c r="H4">
        <v>1260</v>
      </c>
      <c r="I4">
        <v>11100</v>
      </c>
      <c r="J4">
        <v>11100</v>
      </c>
      <c r="K4">
        <v>11100</v>
      </c>
      <c r="L4">
        <v>10920</v>
      </c>
      <c r="M4">
        <v>11830</v>
      </c>
      <c r="N4">
        <v>1260</v>
      </c>
    </row>
    <row r="5" spans="1:14" x14ac:dyDescent="0.45">
      <c r="A5" t="s">
        <v>100</v>
      </c>
      <c r="B5" t="s">
        <v>34</v>
      </c>
      <c r="C5">
        <v>13143</v>
      </c>
      <c r="D5">
        <v>11820</v>
      </c>
      <c r="E5">
        <v>13248</v>
      </c>
      <c r="F5">
        <v>11460</v>
      </c>
      <c r="G5">
        <v>12415</v>
      </c>
      <c r="H5">
        <v>1260</v>
      </c>
      <c r="I5">
        <v>11100</v>
      </c>
      <c r="J5">
        <v>11100</v>
      </c>
      <c r="K5">
        <v>11100</v>
      </c>
      <c r="L5">
        <v>10920</v>
      </c>
      <c r="M5">
        <v>11830</v>
      </c>
      <c r="N5">
        <v>1260</v>
      </c>
    </row>
    <row r="6" spans="1:14" x14ac:dyDescent="0.45">
      <c r="A6" t="s">
        <v>101</v>
      </c>
      <c r="B6" t="s">
        <v>34</v>
      </c>
      <c r="C6">
        <v>5775</v>
      </c>
      <c r="D6">
        <v>4548</v>
      </c>
      <c r="E6">
        <v>4548</v>
      </c>
      <c r="F6">
        <v>1380</v>
      </c>
      <c r="G6">
        <v>720</v>
      </c>
      <c r="I6">
        <v>8145</v>
      </c>
      <c r="J6">
        <v>6312</v>
      </c>
      <c r="K6">
        <v>4740</v>
      </c>
    </row>
    <row r="7" spans="1:14" x14ac:dyDescent="0.45">
      <c r="A7" t="s">
        <v>102</v>
      </c>
      <c r="B7" t="s">
        <v>34</v>
      </c>
      <c r="C7">
        <v>15600</v>
      </c>
      <c r="D7">
        <v>13920</v>
      </c>
      <c r="E7">
        <v>13920</v>
      </c>
      <c r="F7">
        <v>9084</v>
      </c>
      <c r="G7">
        <v>360</v>
      </c>
      <c r="I7">
        <v>18660</v>
      </c>
      <c r="J7">
        <v>15204</v>
      </c>
      <c r="K7">
        <v>14532</v>
      </c>
      <c r="L7">
        <v>4200</v>
      </c>
    </row>
    <row r="8" spans="1:14" x14ac:dyDescent="0.45">
      <c r="A8" t="s">
        <v>103</v>
      </c>
      <c r="B8" t="s">
        <v>34</v>
      </c>
      <c r="C8">
        <v>2448</v>
      </c>
      <c r="D8">
        <v>2244</v>
      </c>
      <c r="E8">
        <v>2244</v>
      </c>
      <c r="F8">
        <v>2244</v>
      </c>
      <c r="G8">
        <v>2244</v>
      </c>
      <c r="I8">
        <v>2448</v>
      </c>
      <c r="J8">
        <v>2244</v>
      </c>
      <c r="K8">
        <v>2244</v>
      </c>
      <c r="L8">
        <v>2244</v>
      </c>
      <c r="M8">
        <v>2244</v>
      </c>
    </row>
    <row r="9" spans="1:14" x14ac:dyDescent="0.45">
      <c r="A9" t="s">
        <v>104</v>
      </c>
      <c r="B9" t="s">
        <v>34</v>
      </c>
      <c r="D9">
        <v>480</v>
      </c>
      <c r="E9">
        <v>480</v>
      </c>
      <c r="F9">
        <v>480</v>
      </c>
      <c r="G9">
        <v>480</v>
      </c>
      <c r="J9">
        <v>480</v>
      </c>
      <c r="K9">
        <v>480</v>
      </c>
      <c r="L9">
        <v>480</v>
      </c>
      <c r="M9">
        <v>480</v>
      </c>
    </row>
    <row r="10" spans="1:14" x14ac:dyDescent="0.45">
      <c r="A10" t="s">
        <v>105</v>
      </c>
      <c r="B10" t="s">
        <v>34</v>
      </c>
      <c r="D10">
        <v>20758</v>
      </c>
      <c r="E10">
        <v>20465</v>
      </c>
      <c r="F10">
        <v>20465</v>
      </c>
      <c r="G10">
        <v>20465</v>
      </c>
      <c r="J10">
        <v>20805</v>
      </c>
      <c r="K10">
        <v>20805</v>
      </c>
      <c r="L10">
        <v>20805</v>
      </c>
      <c r="M10">
        <v>20805</v>
      </c>
    </row>
    <row r="11" spans="1:14" x14ac:dyDescent="0.45">
      <c r="A11" t="s">
        <v>106</v>
      </c>
      <c r="B11" t="s">
        <v>34</v>
      </c>
      <c r="D11">
        <v>2845</v>
      </c>
      <c r="E11">
        <v>2845</v>
      </c>
      <c r="F11">
        <v>2762</v>
      </c>
      <c r="G11">
        <v>2762</v>
      </c>
      <c r="J11">
        <v>2645</v>
      </c>
      <c r="K11">
        <v>2645</v>
      </c>
      <c r="L11">
        <v>2565</v>
      </c>
      <c r="M11">
        <v>2565</v>
      </c>
    </row>
    <row r="12" spans="1:14" x14ac:dyDescent="0.45">
      <c r="A12" t="s">
        <v>107</v>
      </c>
      <c r="B12" t="s">
        <v>34</v>
      </c>
      <c r="D12">
        <v>830</v>
      </c>
      <c r="E12">
        <v>1341</v>
      </c>
      <c r="F12">
        <v>1341</v>
      </c>
      <c r="G12">
        <v>1341</v>
      </c>
      <c r="J12">
        <v>1435</v>
      </c>
      <c r="K12">
        <v>1435</v>
      </c>
      <c r="L12">
        <v>1435</v>
      </c>
      <c r="M12">
        <v>1435</v>
      </c>
    </row>
    <row r="13" spans="1:14" x14ac:dyDescent="0.45">
      <c r="A13" t="s">
        <v>108</v>
      </c>
      <c r="B13" t="s">
        <v>34</v>
      </c>
      <c r="D13">
        <v>505</v>
      </c>
      <c r="E13">
        <v>505</v>
      </c>
      <c r="F13">
        <v>505</v>
      </c>
      <c r="G13">
        <v>505</v>
      </c>
      <c r="J13">
        <v>182</v>
      </c>
      <c r="K13">
        <v>182</v>
      </c>
      <c r="L13">
        <v>182</v>
      </c>
      <c r="M13">
        <v>182</v>
      </c>
    </row>
    <row r="14" spans="1:14" x14ac:dyDescent="0.45">
      <c r="A14" t="s">
        <v>109</v>
      </c>
      <c r="B14" t="s">
        <v>34</v>
      </c>
      <c r="D14">
        <v>172</v>
      </c>
      <c r="E14">
        <v>172</v>
      </c>
      <c r="F14">
        <v>172</v>
      </c>
      <c r="G14">
        <v>172</v>
      </c>
      <c r="J14">
        <v>250</v>
      </c>
      <c r="K14">
        <v>250</v>
      </c>
      <c r="L14">
        <v>250</v>
      </c>
      <c r="M14">
        <v>250</v>
      </c>
    </row>
    <row r="15" spans="1:14" x14ac:dyDescent="0.45">
      <c r="A15" t="s">
        <v>110</v>
      </c>
      <c r="B15" t="s">
        <v>34</v>
      </c>
      <c r="H15">
        <v>25365</v>
      </c>
      <c r="N15">
        <v>25330</v>
      </c>
    </row>
    <row r="16" spans="1:14" x14ac:dyDescent="0.45">
      <c r="A16" t="s">
        <v>111</v>
      </c>
      <c r="B16" t="s">
        <v>34</v>
      </c>
      <c r="D16">
        <v>1053</v>
      </c>
      <c r="E16">
        <v>1053</v>
      </c>
      <c r="F16">
        <v>1053</v>
      </c>
      <c r="G16">
        <v>1053</v>
      </c>
      <c r="J16">
        <v>1053</v>
      </c>
      <c r="K16">
        <v>1053</v>
      </c>
      <c r="L16">
        <v>1053</v>
      </c>
      <c r="M16">
        <v>1053</v>
      </c>
    </row>
    <row r="17" spans="1:14" x14ac:dyDescent="0.45">
      <c r="A17" t="s">
        <v>112</v>
      </c>
      <c r="B17" t="s">
        <v>34</v>
      </c>
      <c r="H17">
        <v>2085</v>
      </c>
      <c r="N17">
        <v>2070</v>
      </c>
    </row>
    <row r="18" spans="1:14" x14ac:dyDescent="0.45">
      <c r="A18" t="s">
        <v>113</v>
      </c>
      <c r="B18" t="s">
        <v>114</v>
      </c>
      <c r="D18">
        <v>17</v>
      </c>
      <c r="E18">
        <v>23</v>
      </c>
      <c r="F18">
        <v>23</v>
      </c>
      <c r="G18">
        <v>23</v>
      </c>
      <c r="J18">
        <v>23</v>
      </c>
      <c r="K18">
        <v>23</v>
      </c>
      <c r="L18">
        <v>23</v>
      </c>
      <c r="M18">
        <v>23</v>
      </c>
    </row>
    <row r="19" spans="1:14" x14ac:dyDescent="0.45">
      <c r="A19" t="s">
        <v>115</v>
      </c>
      <c r="B19" t="s">
        <v>114</v>
      </c>
      <c r="D19">
        <v>12</v>
      </c>
      <c r="E19">
        <v>18</v>
      </c>
      <c r="F19">
        <v>18</v>
      </c>
      <c r="G19">
        <v>18</v>
      </c>
      <c r="J19">
        <v>20</v>
      </c>
      <c r="K19">
        <v>20</v>
      </c>
      <c r="L19">
        <v>20</v>
      </c>
      <c r="M19">
        <v>20</v>
      </c>
    </row>
    <row r="20" spans="1:14" x14ac:dyDescent="0.45">
      <c r="A20" t="s">
        <v>116</v>
      </c>
      <c r="B20" t="s">
        <v>114</v>
      </c>
      <c r="D20">
        <v>3</v>
      </c>
      <c r="E20">
        <v>3</v>
      </c>
      <c r="F20">
        <v>3</v>
      </c>
      <c r="G20">
        <v>3</v>
      </c>
      <c r="J20">
        <v>1</v>
      </c>
      <c r="K20">
        <v>1</v>
      </c>
      <c r="L20">
        <v>1</v>
      </c>
      <c r="M20">
        <v>1</v>
      </c>
    </row>
    <row r="21" spans="1:14" x14ac:dyDescent="0.45">
      <c r="A21" t="s">
        <v>117</v>
      </c>
      <c r="B21" t="s">
        <v>114</v>
      </c>
      <c r="D21">
        <v>2</v>
      </c>
      <c r="E21">
        <v>2</v>
      </c>
      <c r="F21">
        <v>2</v>
      </c>
      <c r="G21">
        <v>2</v>
      </c>
      <c r="J21">
        <v>2</v>
      </c>
      <c r="K21">
        <v>2</v>
      </c>
      <c r="L21">
        <v>2</v>
      </c>
      <c r="M21">
        <v>2</v>
      </c>
    </row>
    <row r="22" spans="1:14" x14ac:dyDescent="0.45">
      <c r="A22" t="s">
        <v>118</v>
      </c>
      <c r="B22" t="s">
        <v>114</v>
      </c>
      <c r="C22">
        <v>26</v>
      </c>
      <c r="D22">
        <v>43</v>
      </c>
      <c r="E22">
        <v>55</v>
      </c>
      <c r="F22">
        <v>55</v>
      </c>
      <c r="G22">
        <v>58</v>
      </c>
      <c r="I22">
        <v>51</v>
      </c>
      <c r="J22">
        <v>56</v>
      </c>
      <c r="K22">
        <v>58</v>
      </c>
      <c r="L22">
        <v>58</v>
      </c>
      <c r="M22">
        <v>55</v>
      </c>
    </row>
    <row r="23" spans="1:14" x14ac:dyDescent="0.45">
      <c r="A23" t="s">
        <v>119</v>
      </c>
      <c r="B23" t="s">
        <v>114</v>
      </c>
      <c r="C23">
        <v>16</v>
      </c>
      <c r="D23">
        <v>24</v>
      </c>
      <c r="E23">
        <v>24</v>
      </c>
      <c r="F23">
        <v>24</v>
      </c>
      <c r="G23">
        <v>25</v>
      </c>
      <c r="I23">
        <v>22</v>
      </c>
      <c r="J23">
        <v>22</v>
      </c>
      <c r="K23">
        <v>22</v>
      </c>
      <c r="L23">
        <v>22</v>
      </c>
      <c r="M23">
        <v>22</v>
      </c>
    </row>
    <row r="24" spans="1:14" x14ac:dyDescent="0.45">
      <c r="A24" t="s">
        <v>120</v>
      </c>
      <c r="B24" t="s">
        <v>114</v>
      </c>
      <c r="C24">
        <v>8</v>
      </c>
      <c r="I24">
        <v>6</v>
      </c>
    </row>
    <row r="25" spans="1:14" x14ac:dyDescent="0.45">
      <c r="A25" t="s">
        <v>121</v>
      </c>
      <c r="B25" t="s">
        <v>114</v>
      </c>
      <c r="C25">
        <v>17</v>
      </c>
      <c r="I25">
        <v>22</v>
      </c>
    </row>
    <row r="26" spans="1:14" x14ac:dyDescent="0.45">
      <c r="A26" t="s">
        <v>122</v>
      </c>
      <c r="B26" t="s">
        <v>114</v>
      </c>
      <c r="C26">
        <v>3</v>
      </c>
      <c r="D26">
        <v>3</v>
      </c>
      <c r="E26">
        <v>3</v>
      </c>
      <c r="F26">
        <v>3</v>
      </c>
      <c r="I26">
        <v>1</v>
      </c>
      <c r="J26">
        <v>1</v>
      </c>
      <c r="K26">
        <v>1</v>
      </c>
      <c r="L26">
        <v>1</v>
      </c>
    </row>
    <row r="27" spans="1:14" x14ac:dyDescent="0.45">
      <c r="A27" t="s">
        <v>123</v>
      </c>
      <c r="B27" t="s">
        <v>114</v>
      </c>
      <c r="H27">
        <v>9</v>
      </c>
      <c r="N27">
        <v>7</v>
      </c>
    </row>
    <row r="28" spans="1:14" x14ac:dyDescent="0.45">
      <c r="H28">
        <v>343049</v>
      </c>
      <c r="N28">
        <v>333088</v>
      </c>
    </row>
    <row r="30" spans="1:14" x14ac:dyDescent="0.45">
      <c r="A30" t="s">
        <v>124</v>
      </c>
      <c r="B30" t="s">
        <v>34</v>
      </c>
      <c r="C30">
        <v>25197</v>
      </c>
      <c r="D30">
        <v>25235</v>
      </c>
      <c r="E30">
        <v>25334</v>
      </c>
      <c r="F30">
        <v>25346</v>
      </c>
      <c r="G30">
        <v>25346</v>
      </c>
      <c r="H30">
        <v>126458</v>
      </c>
      <c r="I30">
        <v>25375</v>
      </c>
      <c r="J30">
        <v>25325</v>
      </c>
      <c r="K30">
        <v>25325</v>
      </c>
      <c r="L30">
        <v>25325</v>
      </c>
      <c r="M30">
        <v>25325</v>
      </c>
      <c r="N30">
        <v>126675</v>
      </c>
    </row>
    <row r="32" spans="1:14" x14ac:dyDescent="0.45">
      <c r="A32" t="s">
        <v>88</v>
      </c>
      <c r="H32">
        <v>469507</v>
      </c>
      <c r="N32">
        <v>459763</v>
      </c>
    </row>
    <row r="34" spans="1:16" x14ac:dyDescent="0.45">
      <c r="A34" t="s">
        <v>125</v>
      </c>
    </row>
    <row r="35" spans="1:16" x14ac:dyDescent="0.45">
      <c r="A35" t="s">
        <v>126</v>
      </c>
    </row>
    <row r="36" spans="1:16" x14ac:dyDescent="0.45">
      <c r="O36" t="s">
        <v>127</v>
      </c>
      <c r="P36">
        <v>253133</v>
      </c>
    </row>
    <row r="37" spans="1:16" x14ac:dyDescent="0.45">
      <c r="O37" t="s">
        <v>128</v>
      </c>
      <c r="P37">
        <v>929270</v>
      </c>
    </row>
    <row r="38" spans="1:16" x14ac:dyDescent="0.45">
      <c r="O38" t="s">
        <v>129</v>
      </c>
      <c r="P38">
        <v>676137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7"/>
  <sheetViews>
    <sheetView workbookViewId="0"/>
  </sheetViews>
  <sheetFormatPr defaultRowHeight="14.25" x14ac:dyDescent="0.45"/>
  <sheetData>
    <row r="1" spans="1:7" x14ac:dyDescent="0.45">
      <c r="A1" t="s">
        <v>130</v>
      </c>
    </row>
    <row r="2" spans="1:7" x14ac:dyDescent="0.45">
      <c r="A2" t="s">
        <v>89</v>
      </c>
      <c r="B2" t="s">
        <v>131</v>
      </c>
      <c r="C2" t="s">
        <v>86</v>
      </c>
      <c r="D2" t="s">
        <v>6</v>
      </c>
      <c r="E2" t="s">
        <v>132</v>
      </c>
      <c r="F2" t="s">
        <v>5</v>
      </c>
      <c r="G2" t="s">
        <v>133</v>
      </c>
    </row>
    <row r="3" spans="1:7" x14ac:dyDescent="0.45">
      <c r="A3" t="s">
        <v>134</v>
      </c>
      <c r="C3" t="s">
        <v>42</v>
      </c>
      <c r="D3" t="s">
        <v>34</v>
      </c>
      <c r="E3">
        <v>0.3</v>
      </c>
      <c r="F3">
        <v>253133</v>
      </c>
      <c r="G3">
        <v>75939.899999999994</v>
      </c>
    </row>
    <row r="4" spans="1:7" x14ac:dyDescent="0.45">
      <c r="A4" t="s">
        <v>135</v>
      </c>
      <c r="C4" t="s">
        <v>42</v>
      </c>
      <c r="D4" t="s">
        <v>34</v>
      </c>
      <c r="E4">
        <v>1.2</v>
      </c>
      <c r="F4">
        <v>253133</v>
      </c>
      <c r="G4">
        <v>303759.59999999998</v>
      </c>
    </row>
    <row r="5" spans="1:7" x14ac:dyDescent="0.45">
      <c r="A5" t="s">
        <v>136</v>
      </c>
      <c r="C5" t="s">
        <v>42</v>
      </c>
      <c r="D5" t="s">
        <v>34</v>
      </c>
      <c r="E5">
        <v>1.1499999999999999</v>
      </c>
      <c r="F5">
        <v>165373</v>
      </c>
      <c r="G5">
        <v>190178.95</v>
      </c>
    </row>
    <row r="6" spans="1:7" x14ac:dyDescent="0.45">
      <c r="A6" t="s">
        <v>137</v>
      </c>
      <c r="C6" t="s">
        <v>42</v>
      </c>
      <c r="D6" t="s">
        <v>34</v>
      </c>
      <c r="E6">
        <v>1.1499999999999999</v>
      </c>
      <c r="F6">
        <v>21634</v>
      </c>
      <c r="G6">
        <v>24879.1</v>
      </c>
    </row>
    <row r="7" spans="1:7" x14ac:dyDescent="0.45">
      <c r="A7" t="s">
        <v>138</v>
      </c>
      <c r="C7" t="s">
        <v>42</v>
      </c>
      <c r="D7" t="s">
        <v>139</v>
      </c>
      <c r="E7">
        <v>500</v>
      </c>
      <c r="F7">
        <v>146</v>
      </c>
      <c r="G7">
        <v>73000</v>
      </c>
    </row>
    <row r="8" spans="1:7" x14ac:dyDescent="0.45">
      <c r="A8" t="s">
        <v>140</v>
      </c>
      <c r="C8" t="s">
        <v>42</v>
      </c>
      <c r="D8" t="s">
        <v>139</v>
      </c>
      <c r="E8">
        <v>600</v>
      </c>
      <c r="F8">
        <v>16</v>
      </c>
      <c r="G8">
        <v>9600</v>
      </c>
    </row>
    <row r="9" spans="1:7" x14ac:dyDescent="0.45">
      <c r="A9" t="s">
        <v>141</v>
      </c>
      <c r="C9" t="s">
        <v>42</v>
      </c>
      <c r="D9" t="s">
        <v>139</v>
      </c>
      <c r="E9">
        <v>600</v>
      </c>
      <c r="F9">
        <v>16</v>
      </c>
      <c r="G9">
        <v>9600</v>
      </c>
    </row>
    <row r="10" spans="1:7" x14ac:dyDescent="0.45">
      <c r="A10" t="s">
        <v>142</v>
      </c>
      <c r="C10" t="s">
        <v>42</v>
      </c>
      <c r="D10" t="s">
        <v>139</v>
      </c>
      <c r="E10">
        <v>300</v>
      </c>
      <c r="F10">
        <v>16</v>
      </c>
      <c r="G10">
        <v>4800</v>
      </c>
    </row>
    <row r="11" spans="1:7" x14ac:dyDescent="0.45">
      <c r="A11" t="s">
        <v>143</v>
      </c>
      <c r="C11" t="s">
        <v>42</v>
      </c>
      <c r="D11" t="s">
        <v>34</v>
      </c>
      <c r="E11">
        <v>2</v>
      </c>
      <c r="F11">
        <v>50695</v>
      </c>
      <c r="G11">
        <v>101390</v>
      </c>
    </row>
    <row r="12" spans="1:7" x14ac:dyDescent="0.45">
      <c r="A12" t="s">
        <v>144</v>
      </c>
      <c r="C12" t="s">
        <v>42</v>
      </c>
      <c r="D12" t="s">
        <v>34</v>
      </c>
      <c r="E12">
        <v>0.3</v>
      </c>
      <c r="F12">
        <v>253133</v>
      </c>
      <c r="G12">
        <v>75939.899999999994</v>
      </c>
    </row>
    <row r="13" spans="1:7" x14ac:dyDescent="0.45">
      <c r="A13" t="s">
        <v>145</v>
      </c>
      <c r="C13" t="s">
        <v>42</v>
      </c>
      <c r="D13" t="s">
        <v>146</v>
      </c>
      <c r="E13">
        <v>11</v>
      </c>
      <c r="F13">
        <v>1130.25</v>
      </c>
      <c r="G13">
        <v>12432.75</v>
      </c>
    </row>
    <row r="14" spans="1:7" x14ac:dyDescent="0.45">
      <c r="A14" t="s">
        <v>147</v>
      </c>
      <c r="C14" t="s">
        <v>42</v>
      </c>
      <c r="D14" t="s">
        <v>146</v>
      </c>
      <c r="E14">
        <v>11</v>
      </c>
      <c r="F14">
        <v>3296.25</v>
      </c>
      <c r="G14">
        <v>36258.75</v>
      </c>
    </row>
    <row r="15" spans="1:7" x14ac:dyDescent="0.45">
      <c r="A15" t="s">
        <v>148</v>
      </c>
      <c r="C15" t="s">
        <v>42</v>
      </c>
      <c r="D15" t="s">
        <v>146</v>
      </c>
      <c r="E15">
        <v>20</v>
      </c>
      <c r="F15">
        <v>714</v>
      </c>
      <c r="G15">
        <v>14280</v>
      </c>
    </row>
    <row r="16" spans="1:7" x14ac:dyDescent="0.45">
      <c r="A16" t="s">
        <v>149</v>
      </c>
      <c r="C16" t="s">
        <v>42</v>
      </c>
      <c r="D16" t="s">
        <v>146</v>
      </c>
      <c r="E16">
        <v>20</v>
      </c>
      <c r="F16">
        <v>160</v>
      </c>
      <c r="G16">
        <v>3200</v>
      </c>
    </row>
    <row r="17" spans="1:7" x14ac:dyDescent="0.45">
      <c r="A17" t="s">
        <v>150</v>
      </c>
      <c r="C17" t="s">
        <v>42</v>
      </c>
      <c r="D17" t="s">
        <v>34</v>
      </c>
      <c r="E17">
        <v>0.3</v>
      </c>
      <c r="F17">
        <v>253133</v>
      </c>
      <c r="G17">
        <v>75939.899999999994</v>
      </c>
    </row>
    <row r="18" spans="1:7" x14ac:dyDescent="0.45">
      <c r="A18" t="s">
        <v>151</v>
      </c>
      <c r="C18" t="s">
        <v>42</v>
      </c>
      <c r="D18" t="s">
        <v>34</v>
      </c>
      <c r="E18">
        <v>0.25</v>
      </c>
      <c r="F18">
        <v>253133</v>
      </c>
      <c r="G18">
        <v>63283.25</v>
      </c>
    </row>
    <row r="19" spans="1:7" x14ac:dyDescent="0.45">
      <c r="A19" t="s">
        <v>152</v>
      </c>
      <c r="B19" t="s">
        <v>153</v>
      </c>
      <c r="C19" t="s">
        <v>16</v>
      </c>
      <c r="D19" t="s">
        <v>34</v>
      </c>
      <c r="E19">
        <v>0.75</v>
      </c>
      <c r="F19">
        <v>253133</v>
      </c>
      <c r="G19">
        <v>189849.75</v>
      </c>
    </row>
    <row r="20" spans="1:7" x14ac:dyDescent="0.45">
      <c r="A20" t="s">
        <v>33</v>
      </c>
      <c r="B20" t="s">
        <v>153</v>
      </c>
      <c r="C20" t="s">
        <v>16</v>
      </c>
      <c r="D20" t="s">
        <v>34</v>
      </c>
      <c r="E20">
        <v>0.28000000000000003</v>
      </c>
      <c r="F20">
        <v>150000</v>
      </c>
      <c r="G20">
        <v>42000.000000000007</v>
      </c>
    </row>
    <row r="21" spans="1:7" x14ac:dyDescent="0.45">
      <c r="A21" t="s">
        <v>26</v>
      </c>
      <c r="B21" t="s">
        <v>153</v>
      </c>
      <c r="C21" t="s">
        <v>16</v>
      </c>
      <c r="D21" t="s">
        <v>17</v>
      </c>
      <c r="E21">
        <v>8000</v>
      </c>
      <c r="F21">
        <v>6</v>
      </c>
      <c r="G21">
        <v>48000</v>
      </c>
    </row>
    <row r="22" spans="1:7" x14ac:dyDescent="0.45">
      <c r="A22" t="s">
        <v>30</v>
      </c>
      <c r="B22" t="s">
        <v>153</v>
      </c>
      <c r="C22" t="s">
        <v>16</v>
      </c>
      <c r="D22" t="s">
        <v>17</v>
      </c>
      <c r="E22">
        <v>7000</v>
      </c>
      <c r="F22">
        <v>6</v>
      </c>
      <c r="G22">
        <v>42000</v>
      </c>
    </row>
    <row r="23" spans="1:7" x14ac:dyDescent="0.45">
      <c r="A23" t="s">
        <v>37</v>
      </c>
      <c r="B23" t="s">
        <v>153</v>
      </c>
      <c r="C23" t="s">
        <v>16</v>
      </c>
      <c r="D23" t="s">
        <v>17</v>
      </c>
      <c r="E23">
        <v>1750</v>
      </c>
      <c r="F23">
        <v>6</v>
      </c>
      <c r="G23">
        <v>10500</v>
      </c>
    </row>
    <row r="24" spans="1:7" x14ac:dyDescent="0.45">
      <c r="A24" t="s">
        <v>20</v>
      </c>
      <c r="B24" t="s">
        <v>153</v>
      </c>
      <c r="C24" t="s">
        <v>16</v>
      </c>
      <c r="D24" t="s">
        <v>17</v>
      </c>
      <c r="E24">
        <v>1500</v>
      </c>
      <c r="F24">
        <v>6</v>
      </c>
      <c r="G24">
        <v>9000</v>
      </c>
    </row>
    <row r="25" spans="1:7" x14ac:dyDescent="0.45">
      <c r="A25" t="s">
        <v>154</v>
      </c>
      <c r="B25" t="s">
        <v>153</v>
      </c>
      <c r="C25" t="s">
        <v>16</v>
      </c>
      <c r="D25" t="s">
        <v>17</v>
      </c>
      <c r="E25">
        <v>15000</v>
      </c>
      <c r="F25">
        <v>6</v>
      </c>
      <c r="G25">
        <v>90000</v>
      </c>
    </row>
    <row r="26" spans="1:7" x14ac:dyDescent="0.45">
      <c r="A26" t="s">
        <v>15</v>
      </c>
      <c r="B26" t="s">
        <v>153</v>
      </c>
      <c r="C26" t="s">
        <v>16</v>
      </c>
      <c r="D26" t="s">
        <v>155</v>
      </c>
      <c r="E26">
        <v>18000</v>
      </c>
      <c r="F26">
        <v>6</v>
      </c>
      <c r="G26">
        <v>108000</v>
      </c>
    </row>
    <row r="29" spans="1:7" x14ac:dyDescent="0.45">
      <c r="C29" t="s">
        <v>156</v>
      </c>
      <c r="D29">
        <v>1613831.85</v>
      </c>
    </row>
    <row r="30" spans="1:7" x14ac:dyDescent="0.45">
      <c r="C30" t="s">
        <v>157</v>
      </c>
      <c r="D30">
        <v>6.3754305049124378</v>
      </c>
    </row>
    <row r="31" spans="1:7" x14ac:dyDescent="0.45">
      <c r="C31" t="s">
        <v>8</v>
      </c>
      <c r="D31">
        <v>0.25</v>
      </c>
    </row>
    <row r="32" spans="1:7" x14ac:dyDescent="0.45">
      <c r="C32" t="s">
        <v>158</v>
      </c>
      <c r="D32">
        <v>2017289.8125</v>
      </c>
    </row>
    <row r="33" spans="1:7" x14ac:dyDescent="0.45">
      <c r="C33" t="s">
        <v>159</v>
      </c>
      <c r="D33">
        <v>7.969288131140547</v>
      </c>
    </row>
    <row r="35" spans="1:7" x14ac:dyDescent="0.45">
      <c r="C35" t="s">
        <v>160</v>
      </c>
      <c r="D35">
        <v>403457.96249999991</v>
      </c>
    </row>
    <row r="36" spans="1:7" x14ac:dyDescent="0.45">
      <c r="C36" t="s">
        <v>161</v>
      </c>
      <c r="D36">
        <v>0.2</v>
      </c>
    </row>
    <row r="37" spans="1:7" x14ac:dyDescent="0.45">
      <c r="C37" t="s">
        <v>162</v>
      </c>
      <c r="D37">
        <v>0.24999999999999989</v>
      </c>
    </row>
    <row r="42" spans="1:7" x14ac:dyDescent="0.45">
      <c r="A42" t="s">
        <v>163</v>
      </c>
    </row>
    <row r="43" spans="1:7" x14ac:dyDescent="0.45">
      <c r="A43" t="s">
        <v>89</v>
      </c>
      <c r="B43" t="s">
        <v>131</v>
      </c>
      <c r="C43" t="s">
        <v>86</v>
      </c>
      <c r="D43" t="s">
        <v>6</v>
      </c>
      <c r="E43" t="s">
        <v>132</v>
      </c>
      <c r="F43" t="s">
        <v>5</v>
      </c>
      <c r="G43" t="s">
        <v>133</v>
      </c>
    </row>
    <row r="44" spans="1:7" x14ac:dyDescent="0.45">
      <c r="A44" t="s">
        <v>134</v>
      </c>
      <c r="C44" t="s">
        <v>42</v>
      </c>
      <c r="D44" t="s">
        <v>34</v>
      </c>
      <c r="E44">
        <v>0.25</v>
      </c>
      <c r="F44">
        <v>253133</v>
      </c>
      <c r="G44">
        <v>63283.25</v>
      </c>
    </row>
    <row r="45" spans="1:7" x14ac:dyDescent="0.45">
      <c r="A45" t="s">
        <v>135</v>
      </c>
      <c r="C45" t="s">
        <v>42</v>
      </c>
      <c r="D45" t="s">
        <v>34</v>
      </c>
      <c r="E45">
        <v>1.1000000000000001</v>
      </c>
      <c r="F45">
        <v>253133</v>
      </c>
      <c r="G45">
        <v>278446.3</v>
      </c>
    </row>
    <row r="46" spans="1:7" x14ac:dyDescent="0.45">
      <c r="A46" t="s">
        <v>136</v>
      </c>
      <c r="C46" t="s">
        <v>42</v>
      </c>
      <c r="D46" t="s">
        <v>34</v>
      </c>
      <c r="E46">
        <v>1.1000000000000001</v>
      </c>
      <c r="F46">
        <v>165373</v>
      </c>
      <c r="G46">
        <v>181910.3</v>
      </c>
    </row>
    <row r="47" spans="1:7" x14ac:dyDescent="0.45">
      <c r="A47" t="s">
        <v>137</v>
      </c>
      <c r="C47" t="s">
        <v>42</v>
      </c>
      <c r="D47" t="s">
        <v>34</v>
      </c>
      <c r="E47">
        <v>1.1000000000000001</v>
      </c>
      <c r="F47">
        <v>21634</v>
      </c>
      <c r="G47">
        <v>23797.4</v>
      </c>
    </row>
    <row r="48" spans="1:7" x14ac:dyDescent="0.45">
      <c r="A48" t="s">
        <v>138</v>
      </c>
      <c r="C48" t="s">
        <v>42</v>
      </c>
      <c r="D48" t="s">
        <v>139</v>
      </c>
      <c r="E48">
        <v>500</v>
      </c>
      <c r="F48">
        <v>146</v>
      </c>
      <c r="G48">
        <v>73000</v>
      </c>
    </row>
    <row r="49" spans="1:7" x14ac:dyDescent="0.45">
      <c r="A49" t="s">
        <v>140</v>
      </c>
      <c r="C49" t="s">
        <v>42</v>
      </c>
      <c r="D49" t="s">
        <v>139</v>
      </c>
      <c r="E49">
        <v>600</v>
      </c>
      <c r="F49">
        <v>16</v>
      </c>
      <c r="G49">
        <v>9600</v>
      </c>
    </row>
    <row r="50" spans="1:7" x14ac:dyDescent="0.45">
      <c r="A50" t="s">
        <v>141</v>
      </c>
      <c r="C50" t="s">
        <v>42</v>
      </c>
      <c r="D50" t="s">
        <v>139</v>
      </c>
      <c r="E50">
        <v>600</v>
      </c>
      <c r="F50">
        <v>16</v>
      </c>
      <c r="G50">
        <v>9600</v>
      </c>
    </row>
    <row r="51" spans="1:7" x14ac:dyDescent="0.45">
      <c r="A51" t="s">
        <v>142</v>
      </c>
      <c r="C51" t="s">
        <v>42</v>
      </c>
      <c r="D51" t="s">
        <v>139</v>
      </c>
      <c r="E51">
        <v>300</v>
      </c>
      <c r="F51">
        <v>16</v>
      </c>
      <c r="G51">
        <v>4800</v>
      </c>
    </row>
    <row r="52" spans="1:7" x14ac:dyDescent="0.45">
      <c r="A52" t="s">
        <v>143</v>
      </c>
      <c r="C52" t="s">
        <v>42</v>
      </c>
      <c r="D52" t="s">
        <v>34</v>
      </c>
      <c r="E52">
        <v>2</v>
      </c>
      <c r="F52">
        <v>50695</v>
      </c>
      <c r="G52">
        <v>101390</v>
      </c>
    </row>
    <row r="53" spans="1:7" x14ac:dyDescent="0.45">
      <c r="A53" t="s">
        <v>144</v>
      </c>
      <c r="C53" t="s">
        <v>42</v>
      </c>
      <c r="D53" t="s">
        <v>34</v>
      </c>
      <c r="E53">
        <v>0.25</v>
      </c>
      <c r="F53">
        <v>253133</v>
      </c>
      <c r="G53">
        <v>63283.25</v>
      </c>
    </row>
    <row r="54" spans="1:7" x14ac:dyDescent="0.45">
      <c r="A54" t="s">
        <v>145</v>
      </c>
      <c r="C54" t="s">
        <v>42</v>
      </c>
      <c r="D54" t="s">
        <v>146</v>
      </c>
      <c r="E54">
        <v>10</v>
      </c>
      <c r="F54">
        <v>1130.25</v>
      </c>
      <c r="G54">
        <v>11302.5</v>
      </c>
    </row>
    <row r="55" spans="1:7" x14ac:dyDescent="0.45">
      <c r="A55" t="s">
        <v>147</v>
      </c>
      <c r="C55" t="s">
        <v>42</v>
      </c>
      <c r="D55" t="s">
        <v>146</v>
      </c>
      <c r="E55">
        <v>10</v>
      </c>
      <c r="F55">
        <v>3296.25</v>
      </c>
      <c r="G55">
        <v>32962.5</v>
      </c>
    </row>
    <row r="56" spans="1:7" x14ac:dyDescent="0.45">
      <c r="A56" t="s">
        <v>148</v>
      </c>
      <c r="C56" t="s">
        <v>42</v>
      </c>
      <c r="D56" t="s">
        <v>146</v>
      </c>
      <c r="E56">
        <v>15</v>
      </c>
      <c r="F56">
        <v>714</v>
      </c>
      <c r="G56">
        <v>10710</v>
      </c>
    </row>
    <row r="57" spans="1:7" x14ac:dyDescent="0.45">
      <c r="A57" t="s">
        <v>149</v>
      </c>
      <c r="C57" t="s">
        <v>42</v>
      </c>
      <c r="D57" t="s">
        <v>146</v>
      </c>
      <c r="E57">
        <v>15</v>
      </c>
      <c r="F57">
        <v>160</v>
      </c>
      <c r="G57">
        <v>2400</v>
      </c>
    </row>
    <row r="58" spans="1:7" x14ac:dyDescent="0.45">
      <c r="A58" t="s">
        <v>150</v>
      </c>
      <c r="C58" t="s">
        <v>42</v>
      </c>
      <c r="D58" t="s">
        <v>34</v>
      </c>
      <c r="E58">
        <v>0.25</v>
      </c>
      <c r="F58">
        <v>253133</v>
      </c>
      <c r="G58">
        <v>63283.25</v>
      </c>
    </row>
    <row r="59" spans="1:7" x14ac:dyDescent="0.45">
      <c r="A59" t="s">
        <v>151</v>
      </c>
      <c r="C59" t="s">
        <v>42</v>
      </c>
      <c r="D59" t="s">
        <v>34</v>
      </c>
      <c r="E59">
        <v>0.2</v>
      </c>
      <c r="F59">
        <v>253133</v>
      </c>
      <c r="G59">
        <v>50626.600000000013</v>
      </c>
    </row>
    <row r="60" spans="1:7" x14ac:dyDescent="0.45">
      <c r="A60" t="s">
        <v>152</v>
      </c>
      <c r="B60" t="s">
        <v>153</v>
      </c>
      <c r="C60" t="s">
        <v>16</v>
      </c>
      <c r="D60" t="s">
        <v>34</v>
      </c>
      <c r="E60">
        <v>0.65</v>
      </c>
      <c r="F60">
        <v>253133</v>
      </c>
      <c r="G60">
        <v>164536.45000000001</v>
      </c>
    </row>
    <row r="61" spans="1:7" x14ac:dyDescent="0.45">
      <c r="A61" t="s">
        <v>33</v>
      </c>
      <c r="B61" t="s">
        <v>153</v>
      </c>
      <c r="C61" t="s">
        <v>16</v>
      </c>
      <c r="D61" t="s">
        <v>34</v>
      </c>
      <c r="E61">
        <v>50000</v>
      </c>
      <c r="F61">
        <v>1</v>
      </c>
      <c r="G61">
        <v>42000</v>
      </c>
    </row>
    <row r="62" spans="1:7" x14ac:dyDescent="0.45">
      <c r="A62" t="s">
        <v>26</v>
      </c>
      <c r="B62" t="s">
        <v>153</v>
      </c>
      <c r="C62" t="s">
        <v>16</v>
      </c>
      <c r="D62" t="s">
        <v>17</v>
      </c>
      <c r="E62">
        <v>8000</v>
      </c>
      <c r="F62">
        <v>4</v>
      </c>
      <c r="G62">
        <v>32000</v>
      </c>
    </row>
    <row r="63" spans="1:7" x14ac:dyDescent="0.45">
      <c r="A63" t="s">
        <v>30</v>
      </c>
      <c r="B63" t="s">
        <v>153</v>
      </c>
      <c r="C63" t="s">
        <v>16</v>
      </c>
      <c r="D63" t="s">
        <v>17</v>
      </c>
      <c r="E63">
        <v>7000</v>
      </c>
      <c r="F63">
        <v>4</v>
      </c>
      <c r="G63">
        <v>28000</v>
      </c>
    </row>
    <row r="64" spans="1:7" x14ac:dyDescent="0.45">
      <c r="A64" t="s">
        <v>37</v>
      </c>
      <c r="B64" t="s">
        <v>153</v>
      </c>
      <c r="C64" t="s">
        <v>16</v>
      </c>
      <c r="D64" t="s">
        <v>17</v>
      </c>
      <c r="E64">
        <v>1750</v>
      </c>
      <c r="F64">
        <v>4</v>
      </c>
      <c r="G64">
        <v>7000</v>
      </c>
    </row>
    <row r="65" spans="1:7" x14ac:dyDescent="0.45">
      <c r="A65" t="s">
        <v>20</v>
      </c>
      <c r="B65" t="s">
        <v>153</v>
      </c>
      <c r="C65" t="s">
        <v>16</v>
      </c>
      <c r="D65" t="s">
        <v>17</v>
      </c>
      <c r="E65">
        <v>1500</v>
      </c>
      <c r="F65">
        <v>4</v>
      </c>
      <c r="G65">
        <v>6000</v>
      </c>
    </row>
    <row r="66" spans="1:7" x14ac:dyDescent="0.45">
      <c r="A66" t="s">
        <v>154</v>
      </c>
      <c r="B66" t="s">
        <v>153</v>
      </c>
      <c r="C66" t="s">
        <v>16</v>
      </c>
      <c r="D66" t="s">
        <v>17</v>
      </c>
      <c r="E66">
        <v>15000</v>
      </c>
      <c r="F66">
        <v>4</v>
      </c>
      <c r="G66">
        <v>60000</v>
      </c>
    </row>
    <row r="67" spans="1:7" x14ac:dyDescent="0.45">
      <c r="A67" t="s">
        <v>15</v>
      </c>
      <c r="B67" t="s">
        <v>153</v>
      </c>
      <c r="C67" t="s">
        <v>16</v>
      </c>
      <c r="D67" t="s">
        <v>155</v>
      </c>
      <c r="E67">
        <v>18000</v>
      </c>
      <c r="F67">
        <v>4</v>
      </c>
      <c r="G67">
        <v>72000</v>
      </c>
    </row>
    <row r="70" spans="1:7" x14ac:dyDescent="0.45">
      <c r="C70" t="s">
        <v>156</v>
      </c>
      <c r="D70">
        <v>1391931.8</v>
      </c>
    </row>
    <row r="71" spans="1:7" x14ac:dyDescent="0.45">
      <c r="C71" t="s">
        <v>157</v>
      </c>
      <c r="D71">
        <v>5.4988160374190649</v>
      </c>
      <c r="F71" t="s">
        <v>164</v>
      </c>
      <c r="G71">
        <v>1391931.8</v>
      </c>
    </row>
    <row r="72" spans="1:7" x14ac:dyDescent="0.45">
      <c r="C72" t="s">
        <v>158</v>
      </c>
      <c r="D72">
        <v>2017289.8125</v>
      </c>
      <c r="F72" t="s">
        <v>165</v>
      </c>
      <c r="G72">
        <v>2017289.8125</v>
      </c>
    </row>
    <row r="73" spans="1:7" x14ac:dyDescent="0.45">
      <c r="C73" t="s">
        <v>159</v>
      </c>
      <c r="D73">
        <v>7.969288131140547</v>
      </c>
      <c r="F73" t="s">
        <v>166</v>
      </c>
      <c r="G73">
        <v>2505150</v>
      </c>
    </row>
    <row r="74" spans="1:7" x14ac:dyDescent="0.45">
      <c r="F74" t="s">
        <v>167</v>
      </c>
      <c r="G74">
        <v>3319502.5</v>
      </c>
    </row>
    <row r="75" spans="1:7" x14ac:dyDescent="0.45">
      <c r="C75" t="s">
        <v>160</v>
      </c>
      <c r="D75">
        <v>625358.01249999995</v>
      </c>
    </row>
    <row r="76" spans="1:7" x14ac:dyDescent="0.45">
      <c r="C76" t="s">
        <v>161</v>
      </c>
      <c r="D76">
        <v>0.30999909315211488</v>
      </c>
    </row>
    <row r="77" spans="1:7" x14ac:dyDescent="0.45">
      <c r="C77" t="s">
        <v>162</v>
      </c>
      <c r="D77">
        <v>0.44927345757888421</v>
      </c>
    </row>
    <row r="83" spans="1:12" x14ac:dyDescent="0.45">
      <c r="A83" t="s">
        <v>168</v>
      </c>
      <c r="B83" t="s">
        <v>6</v>
      </c>
      <c r="C83" t="s">
        <v>169</v>
      </c>
      <c r="D83" t="s">
        <v>5</v>
      </c>
      <c r="E83" t="s">
        <v>170</v>
      </c>
      <c r="F83" t="s">
        <v>8</v>
      </c>
      <c r="G83" t="s">
        <v>158</v>
      </c>
      <c r="H83" t="s">
        <v>171</v>
      </c>
      <c r="I83" t="s">
        <v>161</v>
      </c>
      <c r="J83" t="s">
        <v>172</v>
      </c>
      <c r="K83" t="s">
        <v>173</v>
      </c>
    </row>
    <row r="84" spans="1:12" x14ac:dyDescent="0.45">
      <c r="A84" t="s">
        <v>174</v>
      </c>
      <c r="B84" t="s">
        <v>34</v>
      </c>
      <c r="D84">
        <v>253133</v>
      </c>
      <c r="E84">
        <v>1391931.8</v>
      </c>
      <c r="G84">
        <v>2017289.8125</v>
      </c>
      <c r="H84">
        <v>625358.01249999995</v>
      </c>
      <c r="I84">
        <v>0.30999909315211488</v>
      </c>
      <c r="J84">
        <v>7.969288131140547</v>
      </c>
    </row>
    <row r="85" spans="1:12" x14ac:dyDescent="0.45">
      <c r="A85" t="s">
        <v>175</v>
      </c>
      <c r="B85" t="s">
        <v>34</v>
      </c>
      <c r="C85">
        <v>0.63207878862100164</v>
      </c>
      <c r="D85">
        <v>253133</v>
      </c>
      <c r="E85">
        <v>160000</v>
      </c>
      <c r="G85">
        <v>185000</v>
      </c>
      <c r="H85">
        <v>25000</v>
      </c>
      <c r="I85">
        <v>0.13513513513513509</v>
      </c>
      <c r="J85">
        <v>0.7308410993430331</v>
      </c>
    </row>
    <row r="86" spans="1:12" x14ac:dyDescent="0.45">
      <c r="A86" t="s">
        <v>176</v>
      </c>
      <c r="B86" t="s">
        <v>34</v>
      </c>
      <c r="C86">
        <v>5.9257386433218899</v>
      </c>
      <c r="D86">
        <v>253133</v>
      </c>
      <c r="E86">
        <v>1500000</v>
      </c>
      <c r="G86">
        <v>2050000</v>
      </c>
      <c r="H86">
        <v>550000</v>
      </c>
      <c r="I86">
        <v>0.26829268292682928</v>
      </c>
      <c r="J86">
        <v>8.0985094792065837</v>
      </c>
    </row>
    <row r="87" spans="1:12" x14ac:dyDescent="0.45">
      <c r="A87" t="s">
        <v>177</v>
      </c>
      <c r="B87" t="s">
        <v>34</v>
      </c>
      <c r="C87">
        <v>0.27653447002168818</v>
      </c>
      <c r="D87">
        <v>253133</v>
      </c>
      <c r="E87">
        <v>70000</v>
      </c>
      <c r="G87">
        <v>125000</v>
      </c>
      <c r="H87">
        <v>55000</v>
      </c>
      <c r="I87">
        <v>0.44</v>
      </c>
      <c r="J87">
        <v>0.49381155361015749</v>
      </c>
      <c r="L87" t="s">
        <v>178</v>
      </c>
    </row>
    <row r="88" spans="1:12" x14ac:dyDescent="0.45">
      <c r="A88" t="s">
        <v>179</v>
      </c>
      <c r="B88" t="s">
        <v>34</v>
      </c>
      <c r="C88">
        <v>2.6942358364970191</v>
      </c>
      <c r="D88">
        <v>253133</v>
      </c>
      <c r="E88">
        <v>682000</v>
      </c>
      <c r="G88">
        <v>805000</v>
      </c>
      <c r="H88">
        <v>123000</v>
      </c>
      <c r="I88">
        <v>0.15279503105590059</v>
      </c>
      <c r="J88">
        <v>3.1801464052494142</v>
      </c>
      <c r="L88" t="s">
        <v>178</v>
      </c>
    </row>
    <row r="89" spans="1:12" x14ac:dyDescent="0.45">
      <c r="A89" t="s">
        <v>180</v>
      </c>
      <c r="B89" t="s">
        <v>139</v>
      </c>
      <c r="C89">
        <v>150</v>
      </c>
      <c r="D89">
        <v>121</v>
      </c>
      <c r="E89">
        <v>18150</v>
      </c>
      <c r="F89">
        <v>0.35</v>
      </c>
      <c r="G89">
        <v>24502.5</v>
      </c>
      <c r="H89">
        <v>6352.5</v>
      </c>
      <c r="I89">
        <v>0.25925925925925919</v>
      </c>
      <c r="J89">
        <v>9.6796940738663073E-2</v>
      </c>
    </row>
    <row r="90" spans="1:12" x14ac:dyDescent="0.45">
      <c r="A90" t="s">
        <v>181</v>
      </c>
      <c r="B90" t="s">
        <v>34</v>
      </c>
      <c r="C90">
        <v>0.29628693216609447</v>
      </c>
      <c r="D90">
        <v>253133</v>
      </c>
      <c r="E90">
        <v>75000</v>
      </c>
      <c r="G90">
        <v>130000</v>
      </c>
      <c r="H90">
        <v>55000</v>
      </c>
      <c r="I90">
        <v>0.42307692307692307</v>
      </c>
      <c r="J90">
        <v>0.51356401575456379</v>
      </c>
    </row>
    <row r="92" spans="1:12" x14ac:dyDescent="0.45">
      <c r="A92" t="s">
        <v>88</v>
      </c>
      <c r="E92">
        <v>3897081.8</v>
      </c>
      <c r="G92">
        <v>5336792.3125</v>
      </c>
      <c r="H92">
        <v>1439710.5125</v>
      </c>
      <c r="I92">
        <v>0.26977075894969083</v>
      </c>
    </row>
    <row r="96" spans="1:12" x14ac:dyDescent="0.45">
      <c r="A96" t="s">
        <v>182</v>
      </c>
      <c r="B96" t="s">
        <v>6</v>
      </c>
      <c r="C96" t="s">
        <v>169</v>
      </c>
      <c r="D96" t="s">
        <v>5</v>
      </c>
      <c r="E96" t="s">
        <v>170</v>
      </c>
      <c r="F96" t="s">
        <v>8</v>
      </c>
      <c r="G96" t="s">
        <v>158</v>
      </c>
      <c r="H96" t="s">
        <v>171</v>
      </c>
      <c r="I96" t="s">
        <v>161</v>
      </c>
      <c r="J96" t="s">
        <v>172</v>
      </c>
      <c r="K96" t="s">
        <v>173</v>
      </c>
    </row>
    <row r="97" spans="1:9" x14ac:dyDescent="0.45">
      <c r="A97" t="s">
        <v>183</v>
      </c>
      <c r="B97" t="s">
        <v>184</v>
      </c>
      <c r="C97">
        <v>6000</v>
      </c>
      <c r="D97">
        <v>1</v>
      </c>
      <c r="E97">
        <v>6000</v>
      </c>
      <c r="G97">
        <v>8000</v>
      </c>
      <c r="H97">
        <v>2000</v>
      </c>
      <c r="I97">
        <v>0.25</v>
      </c>
    </row>
    <row r="98" spans="1:9" x14ac:dyDescent="0.45">
      <c r="A98" t="s">
        <v>185</v>
      </c>
      <c r="B98" t="s">
        <v>184</v>
      </c>
      <c r="C98">
        <v>7000</v>
      </c>
      <c r="D98">
        <v>1</v>
      </c>
      <c r="E98">
        <v>7000</v>
      </c>
      <c r="G98">
        <v>10500</v>
      </c>
      <c r="H98">
        <v>3500</v>
      </c>
      <c r="I98">
        <v>0.33333333333333331</v>
      </c>
    </row>
    <row r="99" spans="1:9" x14ac:dyDescent="0.45">
      <c r="A99" t="s">
        <v>186</v>
      </c>
      <c r="B99" t="s">
        <v>184</v>
      </c>
      <c r="C99">
        <v>5000</v>
      </c>
      <c r="D99">
        <v>1</v>
      </c>
      <c r="E99">
        <v>5000</v>
      </c>
      <c r="G99">
        <v>5000</v>
      </c>
      <c r="H99">
        <v>0</v>
      </c>
      <c r="I99">
        <v>0</v>
      </c>
    </row>
    <row r="101" spans="1:9" x14ac:dyDescent="0.45">
      <c r="A101" t="s">
        <v>88</v>
      </c>
      <c r="E101">
        <v>18000</v>
      </c>
      <c r="G101">
        <v>23500</v>
      </c>
      <c r="H101">
        <v>5500</v>
      </c>
      <c r="I101">
        <v>0.23404255319148939</v>
      </c>
    </row>
    <row r="105" spans="1:9" x14ac:dyDescent="0.45">
      <c r="G105">
        <v>5360292.3125</v>
      </c>
    </row>
    <row r="106" spans="1:9" x14ac:dyDescent="0.45">
      <c r="G106" t="e">
        <v>#REF!</v>
      </c>
    </row>
    <row r="107" spans="1:9" x14ac:dyDescent="0.45">
      <c r="G107" t="e"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BT Estimate</vt:lpstr>
      <vt:lpstr>SOV</vt:lpstr>
      <vt:lpstr>SRC-Estimate</vt:lpstr>
      <vt:lpstr>SRC-(5) Buyout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Anjireddy Mummadi</cp:lastModifiedBy>
  <dcterms:created xsi:type="dcterms:W3CDTF">2026-05-30T07:28:11Z</dcterms:created>
  <dcterms:modified xsi:type="dcterms:W3CDTF">2026-05-31T12:07:09Z</dcterms:modified>
</cp:coreProperties>
</file>