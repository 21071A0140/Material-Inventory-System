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Change Orders" sheetId="2" state="visible" r:id="rId2"/>
    <sheet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AACCEE"/>
      </patternFill>
    </fill>
    <fill>
      <patternFill patternType="solid">
        <fgColor rgb="00D4EDDA"/>
      </patternFill>
    </fill>
    <fill>
      <patternFill patternType="solid">
        <fgColor rgb="0093C47D"/>
      </patternFill>
    </fill>
    <fill>
      <patternFill patternType="solid">
        <fgColor rgb="00F8D7DA"/>
      </patternFill>
    </fill>
    <fill>
      <patternFill patternType="solid">
        <fgColor rgb="00E06666"/>
      </patternFill>
    </fill>
    <fill>
      <patternFill patternType="solid">
        <fgColor rgb="00FFF3CD"/>
      </patternFill>
    </fill>
    <fill>
      <patternFill patternType="solid">
        <fgColor rgb="00FFD966"/>
      </patternFill>
    </fill>
    <fill>
      <patternFill patternType="solid">
        <fgColor rgb="00FCE4EC"/>
      </patternFill>
    </fill>
    <fill>
      <patternFill patternType="solid">
        <fgColor rgb="00F48FB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3" fontId="2" fillId="5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7" borderId="1" applyAlignment="1" pivotButton="0" quotePrefix="0" xfId="0">
      <alignment horizontal="center" vertical="center" wrapText="1"/>
    </xf>
    <xf numFmtId="4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3" fontId="2" fillId="9" borderId="1" applyAlignment="1" pivotButton="0" quotePrefix="0" xfId="0">
      <alignment horizontal="center" vertical="center" wrapText="1"/>
    </xf>
    <xf numFmtId="4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3" fontId="3" fillId="10" borderId="1" applyAlignment="1" pivotButton="0" quotePrefix="0" xfId="0">
      <alignment horizontal="center" vertical="center"/>
    </xf>
    <xf numFmtId="4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3" fontId="2" fillId="11" borderId="1" applyAlignment="1" pivotButton="0" quotePrefix="0" xfId="0">
      <alignment horizontal="center" vertical="center" wrapText="1"/>
    </xf>
    <xf numFmtId="4" fontId="2" fillId="11" borderId="1" applyAlignment="1" pivotButton="0" quotePrefix="0" xfId="0">
      <alignment horizontal="center" vertical="center" wrapText="1"/>
    </xf>
    <xf numFmtId="164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3" fontId="3" fillId="12" borderId="1" applyAlignment="1" pivotButton="0" quotePrefix="0" xfId="0">
      <alignment horizontal="center" vertical="center"/>
    </xf>
    <xf numFmtId="4" fontId="3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4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center" vertical="center"/>
    </xf>
    <xf numFmtId="4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4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6" customWidth="1" min="4" max="4"/>
    <col width="7" customWidth="1" min="5" max="5"/>
    <col width="9" customWidth="1" min="6" max="6"/>
    <col width="9" customWidth="1" min="7" max="7"/>
    <col width="9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3" customWidth="1" min="19" max="19"/>
    <col width="12" customWidth="1" min="20" max="20"/>
    <col width="12" customWidth="1" min="21" max="21"/>
    <col width="14" customWidth="1" min="22" max="22"/>
    <col width="15" customWidth="1" min="23" max="23"/>
    <col width="12" customWidth="1" min="24" max="24"/>
    <col width="12" customWidth="1" min="25" max="25"/>
    <col width="12" customWidth="1" min="26" max="26"/>
    <col width="14" customWidth="1" min="27" max="27"/>
    <col width="15" customWidth="1" min="28" max="28"/>
    <col width="14" customWidth="1" min="29" max="29"/>
    <col width="14" customWidth="1" min="30" max="30"/>
    <col width="14" customWidth="1" min="31" max="31"/>
  </cols>
  <sheetData>
    <row r="1" ht="44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Length</t>
        </is>
      </c>
      <c r="F1" s="1" t="inlineStr">
        <is>
          <t>PO Qty</t>
        </is>
      </c>
      <c r="G1" s="1" t="inlineStr">
        <is>
          <t>CO Qty</t>
        </is>
      </c>
      <c r="H1" s="1" t="inlineStr">
        <is>
          <t>PO+CO Qty</t>
        </is>
      </c>
      <c r="I1" s="1" t="inlineStr">
        <is>
          <t>Unit Cost</t>
        </is>
      </c>
      <c r="J1" s="1" t="inlineStr">
        <is>
          <t>LF (Linear Ft)</t>
        </is>
      </c>
      <c r="K1" s="1" t="inlineStr">
        <is>
          <t>BF/SF</t>
        </is>
      </c>
      <c r="L1" s="1" t="inlineStr">
        <is>
          <t>Total Cost</t>
        </is>
      </c>
      <c r="M1" s="1" t="inlineStr">
        <is>
          <t>Total Cost+Tax</t>
        </is>
      </c>
      <c r="N1" s="1" t="inlineStr">
        <is>
          <t>04/28/2026</t>
        </is>
      </c>
      <c r="O1" s="1" t="inlineStr">
        <is>
          <t>2026-11-23</t>
        </is>
      </c>
      <c r="P1" s="1" t="inlineStr">
        <is>
          <t>2026-11-23</t>
        </is>
      </c>
      <c r="Q1" s="1" t="inlineStr">
        <is>
          <t>2025-11-11</t>
        </is>
      </c>
      <c r="R1" s="1" t="inlineStr">
        <is>
          <t>Invoice #</t>
        </is>
      </c>
      <c r="S1" s="1" t="inlineStr">
        <is>
          <t>Total Delivered</t>
        </is>
      </c>
      <c r="T1" s="1" t="inlineStr">
        <is>
          <t>Delivered LF</t>
        </is>
      </c>
      <c r="U1" s="1" t="inlineStr">
        <is>
          <t>Delivered BF/SF</t>
        </is>
      </c>
      <c r="V1" s="1" t="inlineStr">
        <is>
          <t>Delivered Cost</t>
        </is>
      </c>
      <c r="W1" s="1" t="inlineStr">
        <is>
          <t>Delivered Cost+Tax</t>
        </is>
      </c>
      <c r="X1" s="1" t="inlineStr">
        <is>
          <t>Remaining Qty</t>
        </is>
      </c>
      <c r="Y1" s="1" t="inlineStr">
        <is>
          <t>Remaining LF</t>
        </is>
      </c>
      <c r="Z1" s="1" t="inlineStr">
        <is>
          <t>Remaining BF/SF</t>
        </is>
      </c>
      <c r="AA1" s="1" t="inlineStr">
        <is>
          <t>Remaining Cost</t>
        </is>
      </c>
      <c r="AB1" s="1" t="inlineStr">
        <is>
          <t>Remaining Cost+Tax</t>
        </is>
      </c>
      <c r="AC1" s="1" t="inlineStr">
        <is>
          <t>Leftover LF (Site)</t>
        </is>
      </c>
      <c r="AD1" s="1" t="inlineStr">
        <is>
          <t>Material Used LF</t>
        </is>
      </c>
      <c r="AE1" s="1" t="inlineStr">
        <is>
          <t>Material Used Cost</t>
        </is>
      </c>
    </row>
    <row r="2">
      <c r="A2" s="2" t="inlineStr">
        <is>
          <t>Lumber</t>
        </is>
      </c>
      <c r="B2" s="3" t="inlineStr">
        <is>
          <t>2x4x1 PT</t>
        </is>
      </c>
      <c r="C2" s="2" t="n">
        <v>2</v>
      </c>
      <c r="D2" s="2" t="n">
        <v>4</v>
      </c>
      <c r="E2" s="2" t="n">
        <v>1</v>
      </c>
      <c r="F2" s="4" t="n">
        <v>11130</v>
      </c>
      <c r="G2" s="4" t="n">
        <v>0</v>
      </c>
      <c r="H2" s="4">
        <f>F2+G2</f>
        <v/>
      </c>
      <c r="I2" s="5" t="n">
        <v>755</v>
      </c>
      <c r="J2" s="5">
        <f>H2*1.0</f>
        <v/>
      </c>
      <c r="K2" s="5">
        <f>(H2*2.0*4.0*1.0)/12</f>
        <v/>
      </c>
      <c r="L2" s="6">
        <f>(K2*I2)/1000</f>
        <v/>
      </c>
      <c r="M2" s="6">
        <f>L2*1.06</f>
        <v/>
      </c>
      <c r="N2" s="4" t="n">
        <v>0</v>
      </c>
      <c r="O2" s="4" t="n">
        <v>0</v>
      </c>
      <c r="P2" s="4" t="n">
        <v>0</v>
      </c>
      <c r="Q2" s="4" t="n">
        <v>0</v>
      </c>
      <c r="R2" s="2" t="inlineStr"/>
      <c r="S2" s="4">
        <f>SUM(N2:Q2)</f>
        <v/>
      </c>
      <c r="T2" s="5">
        <f>S2</f>
        <v/>
      </c>
      <c r="U2" s="5">
        <f>(S2*2.0*4.0)/12</f>
        <v/>
      </c>
      <c r="V2" s="6">
        <f>(U2*I2)/1000</f>
        <v/>
      </c>
      <c r="W2" s="6">
        <f>V2*1.06</f>
        <v/>
      </c>
      <c r="X2" s="4">
        <f>J2-T2</f>
        <v/>
      </c>
      <c r="Y2" s="5">
        <f>X2</f>
        <v/>
      </c>
      <c r="Z2" s="5">
        <f>(X2*2.0*4.0)/12</f>
        <v/>
      </c>
      <c r="AA2" s="6">
        <f>(Z2*I2)/1000</f>
        <v/>
      </c>
      <c r="AB2" s="6">
        <f>AA2*1.06</f>
        <v/>
      </c>
      <c r="AC2" s="5" t="n">
        <v>0</v>
      </c>
      <c r="AD2" s="5">
        <f>T2-AC2</f>
        <v/>
      </c>
      <c r="AE2" s="6">
        <f>((AD2*2.0*4.0)/12*I2)/1000</f>
        <v/>
      </c>
    </row>
    <row r="3">
      <c r="A3" s="2" t="inlineStr">
        <is>
          <t>Lumber</t>
        </is>
      </c>
      <c r="B3" s="3" t="inlineStr">
        <is>
          <t>2x6x1 PT</t>
        </is>
      </c>
      <c r="C3" s="2" t="n">
        <v>2</v>
      </c>
      <c r="D3" s="2" t="n">
        <v>6</v>
      </c>
      <c r="E3" s="2" t="n">
        <v>1</v>
      </c>
      <c r="F3" s="4" t="n">
        <v>16825</v>
      </c>
      <c r="G3" s="4" t="n">
        <v>0</v>
      </c>
      <c r="H3" s="4">
        <f>F3+G3</f>
        <v/>
      </c>
      <c r="I3" s="5" t="n">
        <v>755</v>
      </c>
      <c r="J3" s="5">
        <f>H3*1.0</f>
        <v/>
      </c>
      <c r="K3" s="5">
        <f>(H3*2.0*6.0*1.0)/12</f>
        <v/>
      </c>
      <c r="L3" s="6">
        <f>(K3*I3)/1000</f>
        <v/>
      </c>
      <c r="M3" s="6">
        <f>L3*1.06</f>
        <v/>
      </c>
      <c r="N3" s="4" t="n">
        <v>0</v>
      </c>
      <c r="O3" s="4" t="n">
        <v>0</v>
      </c>
      <c r="P3" s="4" t="n">
        <v>0</v>
      </c>
      <c r="Q3" s="4" t="n">
        <v>0</v>
      </c>
      <c r="R3" s="2" t="inlineStr"/>
      <c r="S3" s="4">
        <f>SUM(N3:Q3)</f>
        <v/>
      </c>
      <c r="T3" s="5">
        <f>S3</f>
        <v/>
      </c>
      <c r="U3" s="5">
        <f>(S3*2.0*6.0)/12</f>
        <v/>
      </c>
      <c r="V3" s="6">
        <f>(U3*I3)/1000</f>
        <v/>
      </c>
      <c r="W3" s="6">
        <f>V3*1.06</f>
        <v/>
      </c>
      <c r="X3" s="4">
        <f>J3-T3</f>
        <v/>
      </c>
      <c r="Y3" s="5">
        <f>X3</f>
        <v/>
      </c>
      <c r="Z3" s="5">
        <f>(X3*2.0*6.0)/12</f>
        <v/>
      </c>
      <c r="AA3" s="6">
        <f>(Z3*I3)/1000</f>
        <v/>
      </c>
      <c r="AB3" s="6">
        <f>AA3*1.06</f>
        <v/>
      </c>
      <c r="AC3" s="5" t="n">
        <v>0</v>
      </c>
      <c r="AD3" s="5">
        <f>T3-AC3</f>
        <v/>
      </c>
      <c r="AE3" s="6">
        <f>((AD3*2.0*6.0)/12*I3)/1000</f>
        <v/>
      </c>
    </row>
    <row r="4">
      <c r="A4" s="2" t="inlineStr">
        <is>
          <t>Lumber</t>
        </is>
      </c>
      <c r="B4" s="3" t="inlineStr">
        <is>
          <t>2x6x12 PT</t>
        </is>
      </c>
      <c r="C4" s="2" t="n">
        <v>2</v>
      </c>
      <c r="D4" s="2" t="n">
        <v>6</v>
      </c>
      <c r="E4" s="2" t="n">
        <v>12</v>
      </c>
      <c r="F4" s="4" t="n">
        <v>1026</v>
      </c>
      <c r="G4" s="4" t="n">
        <v>0</v>
      </c>
      <c r="H4" s="4">
        <f>F4+G4</f>
        <v/>
      </c>
      <c r="I4" s="5" t="n">
        <v>755</v>
      </c>
      <c r="J4" s="5">
        <f>H4*12.0</f>
        <v/>
      </c>
      <c r="K4" s="5">
        <f>(H4*2.0*6.0*12.0)/12</f>
        <v/>
      </c>
      <c r="L4" s="6">
        <f>(K4*I4)/1000</f>
        <v/>
      </c>
      <c r="M4" s="6">
        <f>L4*1.06</f>
        <v/>
      </c>
      <c r="N4" s="4" t="n">
        <v>0</v>
      </c>
      <c r="O4" s="4" t="n">
        <v>0</v>
      </c>
      <c r="P4" s="4" t="n">
        <v>0</v>
      </c>
      <c r="Q4" s="4" t="n">
        <v>0</v>
      </c>
      <c r="R4" s="2" t="inlineStr"/>
      <c r="S4" s="4">
        <f>SUM(N4:Q4)</f>
        <v/>
      </c>
      <c r="T4" s="5">
        <f>S4*12.0</f>
        <v/>
      </c>
      <c r="U4" s="5">
        <f>(S4*2.0*6.0*12.0)/12</f>
        <v/>
      </c>
      <c r="V4" s="6">
        <f>(U4*I4)/1000</f>
        <v/>
      </c>
      <c r="W4" s="6">
        <f>V4*1.06</f>
        <v/>
      </c>
      <c r="X4" s="4">
        <f>H4-S4</f>
        <v/>
      </c>
      <c r="Y4" s="5">
        <f>X4*12.0</f>
        <v/>
      </c>
      <c r="Z4" s="5">
        <f>(X4*2.0*6.0*12.0)/12</f>
        <v/>
      </c>
      <c r="AA4" s="6">
        <f>(Z4*I4)/1000</f>
        <v/>
      </c>
      <c r="AB4" s="6">
        <f>AA4*1.06</f>
        <v/>
      </c>
      <c r="AC4" s="5" t="n">
        <v>0</v>
      </c>
      <c r="AD4" s="5">
        <f>T4-AC4</f>
        <v/>
      </c>
      <c r="AE4" s="6">
        <f>((AD4*2.0*6.0)/12*I4)/1000</f>
        <v/>
      </c>
    </row>
    <row r="5">
      <c r="A5" s="2" t="inlineStr">
        <is>
          <t>Lumber</t>
        </is>
      </c>
      <c r="B5" s="3" t="inlineStr">
        <is>
          <t>2x10x12 PT</t>
        </is>
      </c>
      <c r="C5" s="2" t="n">
        <v>2</v>
      </c>
      <c r="D5" s="2" t="n">
        <v>10</v>
      </c>
      <c r="E5" s="2" t="n">
        <v>12</v>
      </c>
      <c r="F5" s="4" t="n">
        <v>1408</v>
      </c>
      <c r="G5" s="4" t="n">
        <v>0</v>
      </c>
      <c r="H5" s="4">
        <f>F5+G5</f>
        <v/>
      </c>
      <c r="I5" s="5" t="n">
        <v>815</v>
      </c>
      <c r="J5" s="5">
        <f>H5*12.0</f>
        <v/>
      </c>
      <c r="K5" s="5">
        <f>(H5*2.0*10.0*12.0)/12</f>
        <v/>
      </c>
      <c r="L5" s="6">
        <f>(K5*I5)/1000</f>
        <v/>
      </c>
      <c r="M5" s="6">
        <f>L5*1.06</f>
        <v/>
      </c>
      <c r="N5" s="4" t="n">
        <v>0</v>
      </c>
      <c r="O5" s="4" t="n">
        <v>0</v>
      </c>
      <c r="P5" s="4" t="n">
        <v>0</v>
      </c>
      <c r="Q5" s="4" t="n">
        <v>0</v>
      </c>
      <c r="R5" s="2" t="inlineStr"/>
      <c r="S5" s="4">
        <f>SUM(N5:Q5)</f>
        <v/>
      </c>
      <c r="T5" s="5">
        <f>S5*12.0</f>
        <v/>
      </c>
      <c r="U5" s="5">
        <f>(S5*2.0*10.0*12.0)/12</f>
        <v/>
      </c>
      <c r="V5" s="6">
        <f>(U5*I5)/1000</f>
        <v/>
      </c>
      <c r="W5" s="6">
        <f>V5*1.06</f>
        <v/>
      </c>
      <c r="X5" s="4">
        <f>H5-S5</f>
        <v/>
      </c>
      <c r="Y5" s="5">
        <f>X5*12.0</f>
        <v/>
      </c>
      <c r="Z5" s="5">
        <f>(X5*2.0*10.0*12.0)/12</f>
        <v/>
      </c>
      <c r="AA5" s="6">
        <f>(Z5*I5)/1000</f>
        <v/>
      </c>
      <c r="AB5" s="6">
        <f>AA5*1.06</f>
        <v/>
      </c>
      <c r="AC5" s="5" t="n">
        <v>0</v>
      </c>
      <c r="AD5" s="5">
        <f>T5-AC5</f>
        <v/>
      </c>
      <c r="AE5" s="6">
        <f>((AD5*2.0*10.0)/12*I5)/1000</f>
        <v/>
      </c>
    </row>
    <row r="6">
      <c r="A6" s="2" t="inlineStr">
        <is>
          <t>Lumber</t>
        </is>
      </c>
      <c r="B6" s="3" t="inlineStr">
        <is>
          <t>2x12x1 PT</t>
        </is>
      </c>
      <c r="C6" s="2" t="n">
        <v>2</v>
      </c>
      <c r="D6" s="2" t="n">
        <v>12</v>
      </c>
      <c r="E6" s="2" t="n">
        <v>1</v>
      </c>
      <c r="F6" s="4" t="n">
        <v>6760</v>
      </c>
      <c r="G6" s="4" t="n">
        <v>0</v>
      </c>
      <c r="H6" s="4">
        <f>F6+G6</f>
        <v/>
      </c>
      <c r="I6" s="5" t="n">
        <v>845</v>
      </c>
      <c r="J6" s="5">
        <f>H6*1.0</f>
        <v/>
      </c>
      <c r="K6" s="5">
        <f>(H6*2.0*12.0*1.0)/12</f>
        <v/>
      </c>
      <c r="L6" s="6">
        <f>(K6*I6)/1000</f>
        <v/>
      </c>
      <c r="M6" s="6">
        <f>L6*1.06</f>
        <v/>
      </c>
      <c r="N6" s="4" t="n">
        <v>0</v>
      </c>
      <c r="O6" s="4" t="n">
        <v>0</v>
      </c>
      <c r="P6" s="4" t="n">
        <v>0</v>
      </c>
      <c r="Q6" s="4" t="n">
        <v>0</v>
      </c>
      <c r="R6" s="2" t="inlineStr"/>
      <c r="S6" s="4">
        <f>SUM(N6:Q6)</f>
        <v/>
      </c>
      <c r="T6" s="5">
        <f>S6</f>
        <v/>
      </c>
      <c r="U6" s="5">
        <f>(S6*2.0*12.0)/12</f>
        <v/>
      </c>
      <c r="V6" s="6">
        <f>(U6*I6)/1000</f>
        <v/>
      </c>
      <c r="W6" s="6">
        <f>V6*1.06</f>
        <v/>
      </c>
      <c r="X6" s="4">
        <f>J6-T6</f>
        <v/>
      </c>
      <c r="Y6" s="5">
        <f>X6</f>
        <v/>
      </c>
      <c r="Z6" s="5">
        <f>(X6*2.0*12.0)/12</f>
        <v/>
      </c>
      <c r="AA6" s="6">
        <f>(Z6*I6)/1000</f>
        <v/>
      </c>
      <c r="AB6" s="6">
        <f>AA6*1.06</f>
        <v/>
      </c>
      <c r="AC6" s="5" t="n">
        <v>0</v>
      </c>
      <c r="AD6" s="5">
        <f>T6-AC6</f>
        <v/>
      </c>
      <c r="AE6" s="6">
        <f>((AD6*2.0*12.0)/12*I6)/1000</f>
        <v/>
      </c>
    </row>
    <row r="7">
      <c r="A7" s="2" t="inlineStr">
        <is>
          <t>Lumber</t>
        </is>
      </c>
      <c r="B7" s="3" t="inlineStr">
        <is>
          <t>2x12x12 PT</t>
        </is>
      </c>
      <c r="C7" s="2" t="n">
        <v>2</v>
      </c>
      <c r="D7" s="2" t="n">
        <v>12</v>
      </c>
      <c r="E7" s="2" t="n">
        <v>12</v>
      </c>
      <c r="F7" s="4" t="n">
        <v>354</v>
      </c>
      <c r="G7" s="4" t="n">
        <v>0</v>
      </c>
      <c r="H7" s="4">
        <f>F7+G7</f>
        <v/>
      </c>
      <c r="I7" s="5" t="n">
        <v>845</v>
      </c>
      <c r="J7" s="5">
        <f>H7*12.0</f>
        <v/>
      </c>
      <c r="K7" s="5">
        <f>(H7*2.0*12.0*12.0)/12</f>
        <v/>
      </c>
      <c r="L7" s="6">
        <f>(K7*I7)/1000</f>
        <v/>
      </c>
      <c r="M7" s="6">
        <f>L7*1.06</f>
        <v/>
      </c>
      <c r="N7" s="4" t="n">
        <v>0</v>
      </c>
      <c r="O7" s="4" t="n">
        <v>0</v>
      </c>
      <c r="P7" s="4" t="n">
        <v>0</v>
      </c>
      <c r="Q7" s="4" t="n">
        <v>0</v>
      </c>
      <c r="R7" s="2" t="inlineStr"/>
      <c r="S7" s="4">
        <f>SUM(N7:Q7)</f>
        <v/>
      </c>
      <c r="T7" s="5">
        <f>S7*12.0</f>
        <v/>
      </c>
      <c r="U7" s="5">
        <f>(S7*2.0*12.0*12.0)/12</f>
        <v/>
      </c>
      <c r="V7" s="6">
        <f>(U7*I7)/1000</f>
        <v/>
      </c>
      <c r="W7" s="6">
        <f>V7*1.06</f>
        <v/>
      </c>
      <c r="X7" s="4">
        <f>H7-S7</f>
        <v/>
      </c>
      <c r="Y7" s="5">
        <f>X7*12.0</f>
        <v/>
      </c>
      <c r="Z7" s="5">
        <f>(X7*2.0*12.0*12.0)/12</f>
        <v/>
      </c>
      <c r="AA7" s="6">
        <f>(Z7*I7)/1000</f>
        <v/>
      </c>
      <c r="AB7" s="6">
        <f>AA7*1.06</f>
        <v/>
      </c>
      <c r="AC7" s="5" t="n">
        <v>0</v>
      </c>
      <c r="AD7" s="5">
        <f>T7-AC7</f>
        <v/>
      </c>
      <c r="AE7" s="6">
        <f>((AD7*2.0*12.0)/12*I7)/1000</f>
        <v/>
      </c>
    </row>
    <row r="8">
      <c r="A8" s="2" t="inlineStr">
        <is>
          <t>Lumber</t>
        </is>
      </c>
      <c r="B8" s="3" t="inlineStr">
        <is>
          <t>2x12x10 PT</t>
        </is>
      </c>
      <c r="C8" s="2" t="n">
        <v>2</v>
      </c>
      <c r="D8" s="2" t="n">
        <v>12</v>
      </c>
      <c r="E8" s="2" t="n">
        <v>10</v>
      </c>
      <c r="F8" s="4" t="n">
        <v>413</v>
      </c>
      <c r="G8" s="4" t="n">
        <v>0</v>
      </c>
      <c r="H8" s="4">
        <f>F8+G8</f>
        <v/>
      </c>
      <c r="I8" s="5" t="n">
        <v>845</v>
      </c>
      <c r="J8" s="5">
        <f>H8*10.0</f>
        <v/>
      </c>
      <c r="K8" s="5">
        <f>(H8*2.0*12.0*10.0)/12</f>
        <v/>
      </c>
      <c r="L8" s="6">
        <f>(K8*I8)/1000</f>
        <v/>
      </c>
      <c r="M8" s="6">
        <f>L8*1.06</f>
        <v/>
      </c>
      <c r="N8" s="4" t="n">
        <v>0</v>
      </c>
      <c r="O8" s="4" t="n">
        <v>0</v>
      </c>
      <c r="P8" s="4" t="n">
        <v>0</v>
      </c>
      <c r="Q8" s="4" t="n">
        <v>0</v>
      </c>
      <c r="R8" s="2" t="inlineStr"/>
      <c r="S8" s="4">
        <f>SUM(N8:Q8)</f>
        <v/>
      </c>
      <c r="T8" s="5">
        <f>S8*10.0</f>
        <v/>
      </c>
      <c r="U8" s="5">
        <f>(S8*2.0*12.0*10.0)/12</f>
        <v/>
      </c>
      <c r="V8" s="6">
        <f>(U8*I8)/1000</f>
        <v/>
      </c>
      <c r="W8" s="6">
        <f>V8*1.06</f>
        <v/>
      </c>
      <c r="X8" s="4">
        <f>H8-S8</f>
        <v/>
      </c>
      <c r="Y8" s="5">
        <f>X8*10.0</f>
        <v/>
      </c>
      <c r="Z8" s="5">
        <f>(X8*2.0*12.0*10.0)/12</f>
        <v/>
      </c>
      <c r="AA8" s="6">
        <f>(Z8*I8)/1000</f>
        <v/>
      </c>
      <c r="AB8" s="6">
        <f>AA8*1.06</f>
        <v/>
      </c>
      <c r="AC8" s="5" t="n">
        <v>0</v>
      </c>
      <c r="AD8" s="5">
        <f>T8-AC8</f>
        <v/>
      </c>
      <c r="AE8" s="6">
        <f>((AD8*2.0*12.0)/12*I8)/1000</f>
        <v/>
      </c>
    </row>
    <row r="9">
      <c r="A9" s="2" t="inlineStr">
        <is>
          <t>Lumber</t>
        </is>
      </c>
      <c r="B9" s="3" t="inlineStr">
        <is>
          <t>2x12x12 PT</t>
        </is>
      </c>
      <c r="C9" s="2" t="n">
        <v>2</v>
      </c>
      <c r="D9" s="2" t="n">
        <v>12</v>
      </c>
      <c r="E9" s="2" t="n">
        <v>12</v>
      </c>
      <c r="F9" s="4" t="n">
        <v>703</v>
      </c>
      <c r="G9" s="4" t="n">
        <v>0</v>
      </c>
      <c r="H9" s="4">
        <f>F9+G9</f>
        <v/>
      </c>
      <c r="I9" s="5" t="n">
        <v>845</v>
      </c>
      <c r="J9" s="5">
        <f>H9*12.0</f>
        <v/>
      </c>
      <c r="K9" s="5">
        <f>(H9*2.0*12.0*12.0)/12</f>
        <v/>
      </c>
      <c r="L9" s="6">
        <f>(K9*I9)/1000</f>
        <v/>
      </c>
      <c r="M9" s="6">
        <f>L9*1.06</f>
        <v/>
      </c>
      <c r="N9" s="4" t="n">
        <v>0</v>
      </c>
      <c r="O9" s="4" t="n">
        <v>0</v>
      </c>
      <c r="P9" s="4" t="n">
        <v>0</v>
      </c>
      <c r="Q9" s="4" t="n">
        <v>0</v>
      </c>
      <c r="R9" s="2" t="inlineStr"/>
      <c r="S9" s="4">
        <f>SUM(N9:Q9)</f>
        <v/>
      </c>
      <c r="T9" s="5">
        <f>S9*12.0</f>
        <v/>
      </c>
      <c r="U9" s="5">
        <f>(S9*2.0*12.0*12.0)/12</f>
        <v/>
      </c>
      <c r="V9" s="6">
        <f>(U9*I9)/1000</f>
        <v/>
      </c>
      <c r="W9" s="6">
        <f>V9*1.06</f>
        <v/>
      </c>
      <c r="X9" s="4">
        <f>H9-S9</f>
        <v/>
      </c>
      <c r="Y9" s="5">
        <f>X9*12.0</f>
        <v/>
      </c>
      <c r="Z9" s="5">
        <f>(X9*2.0*12.0*12.0)/12</f>
        <v/>
      </c>
      <c r="AA9" s="6">
        <f>(Z9*I9)/1000</f>
        <v/>
      </c>
      <c r="AB9" s="6">
        <f>AA9*1.06</f>
        <v/>
      </c>
      <c r="AC9" s="5" t="n">
        <v>0</v>
      </c>
      <c r="AD9" s="5">
        <f>T9-AC9</f>
        <v/>
      </c>
      <c r="AE9" s="6">
        <f>((AD9*2.0*12.0)/12*I9)/1000</f>
        <v/>
      </c>
    </row>
    <row r="10">
      <c r="A10" s="2" t="inlineStr">
        <is>
          <t>Lumber</t>
        </is>
      </c>
      <c r="B10" s="3" t="inlineStr">
        <is>
          <t>3x10x12 PT</t>
        </is>
      </c>
      <c r="C10" s="2" t="n">
        <v>3</v>
      </c>
      <c r="D10" s="2" t="n">
        <v>10</v>
      </c>
      <c r="E10" s="2" t="n">
        <v>12</v>
      </c>
      <c r="F10" s="4" t="n">
        <v>8</v>
      </c>
      <c r="G10" s="4" t="n">
        <v>0</v>
      </c>
      <c r="H10" s="4">
        <f>F10+G10</f>
        <v/>
      </c>
      <c r="I10" s="5" t="n">
        <v>1500</v>
      </c>
      <c r="J10" s="5">
        <f>H10*12.0</f>
        <v/>
      </c>
      <c r="K10" s="5">
        <f>(H10*3.0*10.0*12.0)/12</f>
        <v/>
      </c>
      <c r="L10" s="6">
        <f>(K10*I10)/1000</f>
        <v/>
      </c>
      <c r="M10" s="6">
        <f>L10*1.06</f>
        <v/>
      </c>
      <c r="N10" s="4" t="n">
        <v>0</v>
      </c>
      <c r="O10" s="4" t="n">
        <v>0</v>
      </c>
      <c r="P10" s="4" t="n">
        <v>0</v>
      </c>
      <c r="Q10" s="4" t="n">
        <v>0</v>
      </c>
      <c r="R10" s="2" t="inlineStr"/>
      <c r="S10" s="4">
        <f>SUM(N10:Q10)</f>
        <v/>
      </c>
      <c r="T10" s="5">
        <f>S10*12.0</f>
        <v/>
      </c>
      <c r="U10" s="5">
        <f>(S10*3.0*10.0*12.0)/12</f>
        <v/>
      </c>
      <c r="V10" s="6">
        <f>(U10*I10)/1000</f>
        <v/>
      </c>
      <c r="W10" s="6">
        <f>V10*1.06</f>
        <v/>
      </c>
      <c r="X10" s="4">
        <f>H10-S10</f>
        <v/>
      </c>
      <c r="Y10" s="5">
        <f>X10*12.0</f>
        <v/>
      </c>
      <c r="Z10" s="5">
        <f>(X10*3.0*10.0*12.0)/12</f>
        <v/>
      </c>
      <c r="AA10" s="6">
        <f>(Z10*I10)/1000</f>
        <v/>
      </c>
      <c r="AB10" s="6">
        <f>AA10*1.06</f>
        <v/>
      </c>
      <c r="AC10" s="5" t="n">
        <v>0</v>
      </c>
      <c r="AD10" s="5">
        <f>T10-AC10</f>
        <v/>
      </c>
      <c r="AE10" s="6">
        <f>((AD10*3.0*10.0)/12*I10)/1000</f>
        <v/>
      </c>
    </row>
    <row r="11">
      <c r="A11" s="2" t="inlineStr">
        <is>
          <t>Lumber</t>
        </is>
      </c>
      <c r="B11" s="3" t="inlineStr">
        <is>
          <t>8x8x12 PT</t>
        </is>
      </c>
      <c r="C11" s="2" t="n">
        <v>8</v>
      </c>
      <c r="D11" s="2" t="n">
        <v>8</v>
      </c>
      <c r="E11" s="2" t="n">
        <v>12</v>
      </c>
      <c r="F11" s="4" t="n">
        <v>2</v>
      </c>
      <c r="G11" s="4" t="n">
        <v>0</v>
      </c>
      <c r="H11" s="4">
        <f>F11+G11</f>
        <v/>
      </c>
      <c r="I11" s="5" t="n">
        <v>1850</v>
      </c>
      <c r="J11" s="5">
        <f>H11*12.0</f>
        <v/>
      </c>
      <c r="K11" s="5">
        <f>(H11*8.0*8.0*12.0)/12</f>
        <v/>
      </c>
      <c r="L11" s="6">
        <f>(K11*I11)/1000</f>
        <v/>
      </c>
      <c r="M11" s="6">
        <f>L11*1.06</f>
        <v/>
      </c>
      <c r="N11" s="4" t="n">
        <v>0</v>
      </c>
      <c r="O11" s="4" t="n">
        <v>0</v>
      </c>
      <c r="P11" s="4" t="n">
        <v>0</v>
      </c>
      <c r="Q11" s="4" t="n">
        <v>0</v>
      </c>
      <c r="R11" s="2" t="inlineStr"/>
      <c r="S11" s="4">
        <f>SUM(N11:Q11)</f>
        <v/>
      </c>
      <c r="T11" s="5">
        <f>S11*12.0</f>
        <v/>
      </c>
      <c r="U11" s="5">
        <f>(S11*8.0*8.0*12.0)/12</f>
        <v/>
      </c>
      <c r="V11" s="6">
        <f>(U11*I11)/1000</f>
        <v/>
      </c>
      <c r="W11" s="6">
        <f>V11*1.06</f>
        <v/>
      </c>
      <c r="X11" s="4">
        <f>H11-S11</f>
        <v/>
      </c>
      <c r="Y11" s="5">
        <f>X11*12.0</f>
        <v/>
      </c>
      <c r="Z11" s="5">
        <f>(X11*8.0*8.0*12.0)/12</f>
        <v/>
      </c>
      <c r="AA11" s="6">
        <f>(Z11*I11)/1000</f>
        <v/>
      </c>
      <c r="AB11" s="6">
        <f>AA11*1.06</f>
        <v/>
      </c>
      <c r="AC11" s="5" t="n">
        <v>0</v>
      </c>
      <c r="AD11" s="5">
        <f>T11-AC11</f>
        <v/>
      </c>
      <c r="AE11" s="6">
        <f>((AD11*8.0*8.0)/12*I11)/1000</f>
        <v/>
      </c>
    </row>
    <row r="12">
      <c r="A12" s="2" t="inlineStr">
        <is>
          <t>Lumber</t>
        </is>
      </c>
      <c r="B12" s="3" t="inlineStr">
        <is>
          <t>12x12x12 PT</t>
        </is>
      </c>
      <c r="C12" s="2" t="n">
        <v>12</v>
      </c>
      <c r="D12" s="2" t="n">
        <v>12</v>
      </c>
      <c r="E12" s="2" t="n">
        <v>12</v>
      </c>
      <c r="F12" s="4" t="n">
        <v>2</v>
      </c>
      <c r="G12" s="4" t="n">
        <v>0</v>
      </c>
      <c r="H12" s="4">
        <f>F12+G12</f>
        <v/>
      </c>
      <c r="I12" s="5" t="n">
        <v>2400</v>
      </c>
      <c r="J12" s="5">
        <f>H12*12.0</f>
        <v/>
      </c>
      <c r="K12" s="5">
        <f>(H12*12.0*12.0*12.0)/12</f>
        <v/>
      </c>
      <c r="L12" s="6">
        <f>(K12*I12)/1000</f>
        <v/>
      </c>
      <c r="M12" s="6">
        <f>L12*1.06</f>
        <v/>
      </c>
      <c r="N12" s="4" t="n">
        <v>0</v>
      </c>
      <c r="O12" s="4" t="n">
        <v>0</v>
      </c>
      <c r="P12" s="4" t="n">
        <v>0</v>
      </c>
      <c r="Q12" s="4" t="n">
        <v>0</v>
      </c>
      <c r="R12" s="2" t="inlineStr"/>
      <c r="S12" s="4">
        <f>SUM(N12:Q12)</f>
        <v/>
      </c>
      <c r="T12" s="5">
        <f>S12*12.0</f>
        <v/>
      </c>
      <c r="U12" s="5">
        <f>(S12*12.0*12.0*12.0)/12</f>
        <v/>
      </c>
      <c r="V12" s="6">
        <f>(U12*I12)/1000</f>
        <v/>
      </c>
      <c r="W12" s="6">
        <f>V12*1.06</f>
        <v/>
      </c>
      <c r="X12" s="4">
        <f>H12-S12</f>
        <v/>
      </c>
      <c r="Y12" s="5">
        <f>X12*12.0</f>
        <v/>
      </c>
      <c r="Z12" s="5">
        <f>(X12*12.0*12.0*12.0)/12</f>
        <v/>
      </c>
      <c r="AA12" s="6">
        <f>(Z12*I12)/1000</f>
        <v/>
      </c>
      <c r="AB12" s="6">
        <f>AA12*1.06</f>
        <v/>
      </c>
      <c r="AC12" s="5" t="n">
        <v>0</v>
      </c>
      <c r="AD12" s="5">
        <f>T12-AC12</f>
        <v/>
      </c>
      <c r="AE12" s="6">
        <f>((AD12*12.0*12.0)/12*I12)/1000</f>
        <v/>
      </c>
    </row>
    <row r="13">
      <c r="A13" s="2" t="inlineStr">
        <is>
          <t>Lumber</t>
        </is>
      </c>
      <c r="B13" s="3" t="inlineStr">
        <is>
          <t>2x4x12 SYP #2</t>
        </is>
      </c>
      <c r="C13" s="2" t="n">
        <v>2</v>
      </c>
      <c r="D13" s="2" t="n">
        <v>4</v>
      </c>
      <c r="E13" s="2" t="n">
        <v>12</v>
      </c>
      <c r="F13" s="4" t="n">
        <v>1297</v>
      </c>
      <c r="G13" s="4" t="n">
        <v>0</v>
      </c>
      <c r="H13" s="4">
        <f>F13+G13</f>
        <v/>
      </c>
      <c r="I13" s="5" t="n">
        <v>635</v>
      </c>
      <c r="J13" s="5">
        <f>H13*12.0</f>
        <v/>
      </c>
      <c r="K13" s="5">
        <f>(H13*2.0*4.0*12.0)/12</f>
        <v/>
      </c>
      <c r="L13" s="6">
        <f>(K13*I13)/1000</f>
        <v/>
      </c>
      <c r="M13" s="6">
        <f>L13*1.06</f>
        <v/>
      </c>
      <c r="N13" s="4" t="n">
        <v>0</v>
      </c>
      <c r="O13" s="4" t="n">
        <v>0</v>
      </c>
      <c r="P13" s="4" t="n">
        <v>0</v>
      </c>
      <c r="Q13" s="4" t="n">
        <v>0</v>
      </c>
      <c r="R13" s="2" t="inlineStr"/>
      <c r="S13" s="4">
        <f>SUM(N13:Q13)</f>
        <v/>
      </c>
      <c r="T13" s="5">
        <f>S13*12.0</f>
        <v/>
      </c>
      <c r="U13" s="5">
        <f>(S13*2.0*4.0*12.0)/12</f>
        <v/>
      </c>
      <c r="V13" s="6">
        <f>(U13*I13)/1000</f>
        <v/>
      </c>
      <c r="W13" s="6">
        <f>V13*1.06</f>
        <v/>
      </c>
      <c r="X13" s="4">
        <f>H13-S13</f>
        <v/>
      </c>
      <c r="Y13" s="5">
        <f>X13*12.0</f>
        <v/>
      </c>
      <c r="Z13" s="5">
        <f>(X13*2.0*4.0*12.0)/12</f>
        <v/>
      </c>
      <c r="AA13" s="6">
        <f>(Z13*I13)/1000</f>
        <v/>
      </c>
      <c r="AB13" s="6">
        <f>AA13*1.06</f>
        <v/>
      </c>
      <c r="AC13" s="5" t="n">
        <v>0</v>
      </c>
      <c r="AD13" s="5">
        <f>T13-AC13</f>
        <v/>
      </c>
      <c r="AE13" s="6">
        <f>((AD13*2.0*4.0)/12*I13)/1000</f>
        <v/>
      </c>
    </row>
    <row r="14">
      <c r="A14" s="2" t="inlineStr">
        <is>
          <t>Lumber</t>
        </is>
      </c>
      <c r="B14" s="3" t="inlineStr">
        <is>
          <t>2x4x1 SYP#2</t>
        </is>
      </c>
      <c r="C14" s="2" t="n">
        <v>2</v>
      </c>
      <c r="D14" s="2" t="n">
        <v>4</v>
      </c>
      <c r="E14" s="2" t="n">
        <v>1</v>
      </c>
      <c r="F14" s="4" t="n">
        <v>171112</v>
      </c>
      <c r="G14" s="4" t="n">
        <v>0</v>
      </c>
      <c r="H14" s="4">
        <f>F14+G14</f>
        <v/>
      </c>
      <c r="I14" s="5" t="n">
        <v>635</v>
      </c>
      <c r="J14" s="5">
        <f>H14*1.0</f>
        <v/>
      </c>
      <c r="K14" s="5">
        <f>(H14*2.0*4.0*1.0)/12</f>
        <v/>
      </c>
      <c r="L14" s="6">
        <f>(K14*I14)/1000</f>
        <v/>
      </c>
      <c r="M14" s="6">
        <f>L14*1.06</f>
        <v/>
      </c>
      <c r="N14" s="4" t="n">
        <v>0</v>
      </c>
      <c r="O14" s="4" t="n">
        <v>0</v>
      </c>
      <c r="P14" s="4" t="n">
        <v>0</v>
      </c>
      <c r="Q14" s="4" t="n">
        <v>0</v>
      </c>
      <c r="R14" s="2" t="inlineStr"/>
      <c r="S14" s="4">
        <f>SUM(N14:Q14)</f>
        <v/>
      </c>
      <c r="T14" s="5">
        <f>S14</f>
        <v/>
      </c>
      <c r="U14" s="5">
        <f>(S14*2.0*4.0)/12</f>
        <v/>
      </c>
      <c r="V14" s="6">
        <f>(U14*I14)/1000</f>
        <v/>
      </c>
      <c r="W14" s="6">
        <f>V14*1.06</f>
        <v/>
      </c>
      <c r="X14" s="4">
        <f>J14-T14</f>
        <v/>
      </c>
      <c r="Y14" s="5">
        <f>X14</f>
        <v/>
      </c>
      <c r="Z14" s="5">
        <f>(X14*2.0*4.0)/12</f>
        <v/>
      </c>
      <c r="AA14" s="6">
        <f>(Z14*I14)/1000</f>
        <v/>
      </c>
      <c r="AB14" s="6">
        <f>AA14*1.06</f>
        <v/>
      </c>
      <c r="AC14" s="5" t="n">
        <v>0</v>
      </c>
      <c r="AD14" s="5">
        <f>T14-AC14</f>
        <v/>
      </c>
      <c r="AE14" s="6">
        <f>((AD14*2.0*4.0)/12*I14)/1000</f>
        <v/>
      </c>
    </row>
    <row r="15">
      <c r="A15" s="2" t="inlineStr">
        <is>
          <t>Lumber</t>
        </is>
      </c>
      <c r="B15" s="3" t="inlineStr">
        <is>
          <t>2x6x1 SYP#2</t>
        </is>
      </c>
      <c r="C15" s="2" t="n">
        <v>2</v>
      </c>
      <c r="D15" s="2" t="n">
        <v>6</v>
      </c>
      <c r="E15" s="2" t="n">
        <v>1</v>
      </c>
      <c r="F15" s="4" t="n">
        <v>217875</v>
      </c>
      <c r="G15" s="4" t="n">
        <v>0</v>
      </c>
      <c r="H15" s="4">
        <f>F15+G15</f>
        <v/>
      </c>
      <c r="I15" s="5" t="n">
        <v>635</v>
      </c>
      <c r="J15" s="5">
        <f>H15*1.0</f>
        <v/>
      </c>
      <c r="K15" s="5">
        <f>(H15*2.0*6.0*1.0)/12</f>
        <v/>
      </c>
      <c r="L15" s="6">
        <f>(K15*I15)/1000</f>
        <v/>
      </c>
      <c r="M15" s="6">
        <f>L15*1.06</f>
        <v/>
      </c>
      <c r="N15" s="4" t="n">
        <v>0</v>
      </c>
      <c r="O15" s="4" t="n">
        <v>0</v>
      </c>
      <c r="P15" s="4" t="n">
        <v>0</v>
      </c>
      <c r="Q15" s="4" t="n">
        <v>0</v>
      </c>
      <c r="R15" s="2" t="inlineStr"/>
      <c r="S15" s="4">
        <f>SUM(N15:Q15)</f>
        <v/>
      </c>
      <c r="T15" s="5">
        <f>S15</f>
        <v/>
      </c>
      <c r="U15" s="5">
        <f>(S15*2.0*6.0)/12</f>
        <v/>
      </c>
      <c r="V15" s="6">
        <f>(U15*I15)/1000</f>
        <v/>
      </c>
      <c r="W15" s="6">
        <f>V15*1.06</f>
        <v/>
      </c>
      <c r="X15" s="4">
        <f>J15-T15</f>
        <v/>
      </c>
      <c r="Y15" s="5">
        <f>X15</f>
        <v/>
      </c>
      <c r="Z15" s="5">
        <f>(X15*2.0*6.0)/12</f>
        <v/>
      </c>
      <c r="AA15" s="6">
        <f>(Z15*I15)/1000</f>
        <v/>
      </c>
      <c r="AB15" s="6">
        <f>AA15*1.06</f>
        <v/>
      </c>
      <c r="AC15" s="5" t="n">
        <v>0</v>
      </c>
      <c r="AD15" s="5">
        <f>T15-AC15</f>
        <v/>
      </c>
      <c r="AE15" s="6">
        <f>((AD15*2.0*6.0)/12*I15)/1000</f>
        <v/>
      </c>
    </row>
    <row r="16">
      <c r="A16" s="2" t="inlineStr">
        <is>
          <t>Lumber</t>
        </is>
      </c>
      <c r="B16" s="3" t="inlineStr">
        <is>
          <t>2x6x12 SYP#2</t>
        </is>
      </c>
      <c r="C16" s="2" t="n">
        <v>2</v>
      </c>
      <c r="D16" s="2" t="n">
        <v>6</v>
      </c>
      <c r="E16" s="2" t="n">
        <v>12</v>
      </c>
      <c r="F16" s="4" t="n">
        <v>456</v>
      </c>
      <c r="G16" s="4" t="n">
        <v>0</v>
      </c>
      <c r="H16" s="4">
        <f>F16+G16</f>
        <v/>
      </c>
      <c r="I16" s="5" t="n">
        <v>635</v>
      </c>
      <c r="J16" s="5">
        <f>H16*12.0</f>
        <v/>
      </c>
      <c r="K16" s="5">
        <f>(H16*2.0*6.0*12.0)/12</f>
        <v/>
      </c>
      <c r="L16" s="6">
        <f>(K16*I16)/1000</f>
        <v/>
      </c>
      <c r="M16" s="6">
        <f>L16*1.06</f>
        <v/>
      </c>
      <c r="N16" s="4" t="n">
        <v>0</v>
      </c>
      <c r="O16" s="4" t="n">
        <v>0</v>
      </c>
      <c r="P16" s="4" t="n">
        <v>0</v>
      </c>
      <c r="Q16" s="4" t="n">
        <v>0</v>
      </c>
      <c r="R16" s="2" t="inlineStr"/>
      <c r="S16" s="4">
        <f>SUM(N16:Q16)</f>
        <v/>
      </c>
      <c r="T16" s="5">
        <f>S16*12.0</f>
        <v/>
      </c>
      <c r="U16" s="5">
        <f>(S16*2.0*6.0*12.0)/12</f>
        <v/>
      </c>
      <c r="V16" s="6">
        <f>(U16*I16)/1000</f>
        <v/>
      </c>
      <c r="W16" s="6">
        <f>V16*1.06</f>
        <v/>
      </c>
      <c r="X16" s="4">
        <f>H16-S16</f>
        <v/>
      </c>
      <c r="Y16" s="5">
        <f>X16*12.0</f>
        <v/>
      </c>
      <c r="Z16" s="5">
        <f>(X16*2.0*6.0*12.0)/12</f>
        <v/>
      </c>
      <c r="AA16" s="6">
        <f>(Z16*I16)/1000</f>
        <v/>
      </c>
      <c r="AB16" s="6">
        <f>AA16*1.06</f>
        <v/>
      </c>
      <c r="AC16" s="5" t="n">
        <v>0</v>
      </c>
      <c r="AD16" s="5">
        <f>T16-AC16</f>
        <v/>
      </c>
      <c r="AE16" s="6">
        <f>((AD16*2.0*6.0)/12*I16)/1000</f>
        <v/>
      </c>
    </row>
    <row r="17">
      <c r="A17" s="2" t="inlineStr">
        <is>
          <t>Lumber</t>
        </is>
      </c>
      <c r="B17" s="3" t="inlineStr">
        <is>
          <t>2x8x1 SYP#2</t>
        </is>
      </c>
      <c r="C17" s="2" t="n">
        <v>2</v>
      </c>
      <c r="D17" s="2" t="n">
        <v>8</v>
      </c>
      <c r="E17" s="2" t="n">
        <v>1</v>
      </c>
      <c r="F17" s="4" t="n">
        <v>1366</v>
      </c>
      <c r="G17" s="4" t="n">
        <v>0</v>
      </c>
      <c r="H17" s="4">
        <f>F17+G17</f>
        <v/>
      </c>
      <c r="I17" s="5" t="n">
        <v>655</v>
      </c>
      <c r="J17" s="5">
        <f>H17*1.0</f>
        <v/>
      </c>
      <c r="K17" s="5">
        <f>(H17*2.0*8.0*1.0)/12</f>
        <v/>
      </c>
      <c r="L17" s="6">
        <f>(K17*I17)/1000</f>
        <v/>
      </c>
      <c r="M17" s="6">
        <f>L17*1.06</f>
        <v/>
      </c>
      <c r="N17" s="4" t="n">
        <v>0</v>
      </c>
      <c r="O17" s="4" t="n">
        <v>0</v>
      </c>
      <c r="P17" s="4" t="n">
        <v>0</v>
      </c>
      <c r="Q17" s="4" t="n">
        <v>0</v>
      </c>
      <c r="R17" s="2" t="inlineStr"/>
      <c r="S17" s="4">
        <f>SUM(N17:Q17)</f>
        <v/>
      </c>
      <c r="T17" s="5">
        <f>S17</f>
        <v/>
      </c>
      <c r="U17" s="5">
        <f>(S17*2.0*8.0)/12</f>
        <v/>
      </c>
      <c r="V17" s="6">
        <f>(U17*I17)/1000</f>
        <v/>
      </c>
      <c r="W17" s="6">
        <f>V17*1.06</f>
        <v/>
      </c>
      <c r="X17" s="4">
        <f>J17-T17</f>
        <v/>
      </c>
      <c r="Y17" s="5">
        <f>X17</f>
        <v/>
      </c>
      <c r="Z17" s="5">
        <f>(X17*2.0*8.0)/12</f>
        <v/>
      </c>
      <c r="AA17" s="6">
        <f>(Z17*I17)/1000</f>
        <v/>
      </c>
      <c r="AB17" s="6">
        <f>AA17*1.06</f>
        <v/>
      </c>
      <c r="AC17" s="5" t="n">
        <v>0</v>
      </c>
      <c r="AD17" s="5">
        <f>T17-AC17</f>
        <v/>
      </c>
      <c r="AE17" s="6">
        <f>((AD17*2.0*8.0)/12*I17)/1000</f>
        <v/>
      </c>
    </row>
    <row r="18">
      <c r="A18" s="2" t="inlineStr">
        <is>
          <t>Lumber</t>
        </is>
      </c>
      <c r="B18" s="3" t="inlineStr">
        <is>
          <t>2x8x12 SYP#2</t>
        </is>
      </c>
      <c r="C18" s="2" t="n">
        <v>2</v>
      </c>
      <c r="D18" s="2" t="n">
        <v>8</v>
      </c>
      <c r="E18" s="2" t="n">
        <v>12</v>
      </c>
      <c r="F18" s="4" t="n">
        <v>633</v>
      </c>
      <c r="G18" s="4" t="n">
        <v>0</v>
      </c>
      <c r="H18" s="4">
        <f>F18+G18</f>
        <v/>
      </c>
      <c r="I18" s="5" t="n">
        <v>655</v>
      </c>
      <c r="J18" s="5">
        <f>H18*12.0</f>
        <v/>
      </c>
      <c r="K18" s="5">
        <f>(H18*2.0*8.0*12.0)/12</f>
        <v/>
      </c>
      <c r="L18" s="6">
        <f>(K18*I18)/1000</f>
        <v/>
      </c>
      <c r="M18" s="6">
        <f>L18*1.06</f>
        <v/>
      </c>
      <c r="N18" s="4" t="n">
        <v>0</v>
      </c>
      <c r="O18" s="4" t="n">
        <v>0</v>
      </c>
      <c r="P18" s="4" t="n">
        <v>0</v>
      </c>
      <c r="Q18" s="4" t="n">
        <v>0</v>
      </c>
      <c r="R18" s="2" t="inlineStr"/>
      <c r="S18" s="4">
        <f>SUM(N18:Q18)</f>
        <v/>
      </c>
      <c r="T18" s="5">
        <f>S18*12.0</f>
        <v/>
      </c>
      <c r="U18" s="5">
        <f>(S18*2.0*8.0*12.0)/12</f>
        <v/>
      </c>
      <c r="V18" s="6">
        <f>(U18*I18)/1000</f>
        <v/>
      </c>
      <c r="W18" s="6">
        <f>V18*1.06</f>
        <v/>
      </c>
      <c r="X18" s="4">
        <f>H18-S18</f>
        <v/>
      </c>
      <c r="Y18" s="5">
        <f>X18*12.0</f>
        <v/>
      </c>
      <c r="Z18" s="5">
        <f>(X18*2.0*8.0*12.0)/12</f>
        <v/>
      </c>
      <c r="AA18" s="6">
        <f>(Z18*I18)/1000</f>
        <v/>
      </c>
      <c r="AB18" s="6">
        <f>AA18*1.06</f>
        <v/>
      </c>
      <c r="AC18" s="5" t="n">
        <v>0</v>
      </c>
      <c r="AD18" s="5">
        <f>T18-AC18</f>
        <v/>
      </c>
      <c r="AE18" s="6">
        <f>((AD18*2.0*8.0)/12*I18)/1000</f>
        <v/>
      </c>
    </row>
    <row r="19">
      <c r="A19" s="2" t="inlineStr">
        <is>
          <t>Lumber</t>
        </is>
      </c>
      <c r="B19" s="3" t="inlineStr">
        <is>
          <t>2x10x1 SYP#2</t>
        </is>
      </c>
      <c r="C19" s="2" t="n">
        <v>2</v>
      </c>
      <c r="D19" s="2" t="n">
        <v>10</v>
      </c>
      <c r="E19" s="2" t="n">
        <v>1</v>
      </c>
      <c r="F19" s="4" t="n">
        <v>29631</v>
      </c>
      <c r="G19" s="4" t="n">
        <v>0</v>
      </c>
      <c r="H19" s="4">
        <f>F19+G19</f>
        <v/>
      </c>
      <c r="I19" s="5" t="n">
        <v>655</v>
      </c>
      <c r="J19" s="5">
        <f>H19*1.0</f>
        <v/>
      </c>
      <c r="K19" s="5">
        <f>(H19*2.0*10.0*1.0)/12</f>
        <v/>
      </c>
      <c r="L19" s="6">
        <f>(K19*I19)/1000</f>
        <v/>
      </c>
      <c r="M19" s="6">
        <f>L19*1.06</f>
        <v/>
      </c>
      <c r="N19" s="4" t="n">
        <v>0</v>
      </c>
      <c r="O19" s="4" t="n">
        <v>0</v>
      </c>
      <c r="P19" s="4" t="n">
        <v>0</v>
      </c>
      <c r="Q19" s="4" t="n">
        <v>0</v>
      </c>
      <c r="R19" s="2" t="inlineStr"/>
      <c r="S19" s="4">
        <f>SUM(N19:Q19)</f>
        <v/>
      </c>
      <c r="T19" s="5">
        <f>S19</f>
        <v/>
      </c>
      <c r="U19" s="5">
        <f>(S19*2.0*10.0)/12</f>
        <v/>
      </c>
      <c r="V19" s="6">
        <f>(U19*I19)/1000</f>
        <v/>
      </c>
      <c r="W19" s="6">
        <f>V19*1.06</f>
        <v/>
      </c>
      <c r="X19" s="4">
        <f>J19-T19</f>
        <v/>
      </c>
      <c r="Y19" s="5">
        <f>X19</f>
        <v/>
      </c>
      <c r="Z19" s="5">
        <f>(X19*2.0*10.0)/12</f>
        <v/>
      </c>
      <c r="AA19" s="6">
        <f>(Z19*I19)/1000</f>
        <v/>
      </c>
      <c r="AB19" s="6">
        <f>AA19*1.06</f>
        <v/>
      </c>
      <c r="AC19" s="5" t="n">
        <v>0</v>
      </c>
      <c r="AD19" s="5">
        <f>T19-AC19</f>
        <v/>
      </c>
      <c r="AE19" s="6">
        <f>((AD19*2.0*10.0)/12*I19)/1000</f>
        <v/>
      </c>
    </row>
    <row r="20">
      <c r="A20" s="2" t="inlineStr">
        <is>
          <t>Lumber</t>
        </is>
      </c>
      <c r="B20" s="3" t="inlineStr">
        <is>
          <t>2x10x12 SYP#2</t>
        </is>
      </c>
      <c r="C20" s="2" t="n">
        <v>2</v>
      </c>
      <c r="D20" s="2" t="n">
        <v>10</v>
      </c>
      <c r="E20" s="2" t="n">
        <v>12</v>
      </c>
      <c r="F20" s="4" t="n">
        <v>1789</v>
      </c>
      <c r="G20" s="4" t="n">
        <v>0</v>
      </c>
      <c r="H20" s="4">
        <f>F20+G20</f>
        <v/>
      </c>
      <c r="I20" s="5" t="n">
        <v>655</v>
      </c>
      <c r="J20" s="5">
        <f>H20*12.0</f>
        <v/>
      </c>
      <c r="K20" s="5">
        <f>(H20*2.0*10.0*12.0)/12</f>
        <v/>
      </c>
      <c r="L20" s="6">
        <f>(K20*I20)/1000</f>
        <v/>
      </c>
      <c r="M20" s="6">
        <f>L20*1.06</f>
        <v/>
      </c>
      <c r="N20" s="4" t="n">
        <v>0</v>
      </c>
      <c r="O20" s="4" t="n">
        <v>0</v>
      </c>
      <c r="P20" s="4" t="n">
        <v>0</v>
      </c>
      <c r="Q20" s="4" t="n">
        <v>0</v>
      </c>
      <c r="R20" s="2" t="inlineStr"/>
      <c r="S20" s="4">
        <f>SUM(N20:Q20)</f>
        <v/>
      </c>
      <c r="T20" s="5">
        <f>S20*12.0</f>
        <v/>
      </c>
      <c r="U20" s="5">
        <f>(S20*2.0*10.0*12.0)/12</f>
        <v/>
      </c>
      <c r="V20" s="6">
        <f>(U20*I20)/1000</f>
        <v/>
      </c>
      <c r="W20" s="6">
        <f>V20*1.06</f>
        <v/>
      </c>
      <c r="X20" s="4">
        <f>H20-S20</f>
        <v/>
      </c>
      <c r="Y20" s="5">
        <f>X20*12.0</f>
        <v/>
      </c>
      <c r="Z20" s="5">
        <f>(X20*2.0*10.0*12.0)/12</f>
        <v/>
      </c>
      <c r="AA20" s="6">
        <f>(Z20*I20)/1000</f>
        <v/>
      </c>
      <c r="AB20" s="6">
        <f>AA20*1.06</f>
        <v/>
      </c>
      <c r="AC20" s="5" t="n">
        <v>0</v>
      </c>
      <c r="AD20" s="5">
        <f>T20-AC20</f>
        <v/>
      </c>
      <c r="AE20" s="6">
        <f>((AD20*2.0*10.0)/12*I20)/1000</f>
        <v/>
      </c>
    </row>
    <row r="21">
      <c r="A21" s="2" t="inlineStr">
        <is>
          <t>Lumber</t>
        </is>
      </c>
      <c r="B21" s="3" t="inlineStr">
        <is>
          <t>2x12x1 SYP#2</t>
        </is>
      </c>
      <c r="C21" s="2" t="n">
        <v>2</v>
      </c>
      <c r="D21" s="2" t="n">
        <v>12</v>
      </c>
      <c r="E21" s="2" t="n">
        <v>1</v>
      </c>
      <c r="F21" s="4" t="n">
        <v>4475</v>
      </c>
      <c r="G21" s="4" t="n">
        <v>0</v>
      </c>
      <c r="H21" s="4">
        <f>F21+G21</f>
        <v/>
      </c>
      <c r="I21" s="5" t="n">
        <v>715</v>
      </c>
      <c r="J21" s="5">
        <f>H21*1.0</f>
        <v/>
      </c>
      <c r="K21" s="5">
        <f>(H21*2.0*12.0*1.0)/12</f>
        <v/>
      </c>
      <c r="L21" s="6">
        <f>(K21*I21)/1000</f>
        <v/>
      </c>
      <c r="M21" s="6">
        <f>L21*1.06</f>
        <v/>
      </c>
      <c r="N21" s="4" t="n">
        <v>0</v>
      </c>
      <c r="O21" s="4" t="n">
        <v>0</v>
      </c>
      <c r="P21" s="4" t="n">
        <v>0</v>
      </c>
      <c r="Q21" s="4" t="n">
        <v>0</v>
      </c>
      <c r="R21" s="2" t="inlineStr"/>
      <c r="S21" s="4">
        <f>SUM(N21:Q21)</f>
        <v/>
      </c>
      <c r="T21" s="5">
        <f>S21</f>
        <v/>
      </c>
      <c r="U21" s="5">
        <f>(S21*2.0*12.0)/12</f>
        <v/>
      </c>
      <c r="V21" s="6">
        <f>(U21*I21)/1000</f>
        <v/>
      </c>
      <c r="W21" s="6">
        <f>V21*1.06</f>
        <v/>
      </c>
      <c r="X21" s="4">
        <f>J21-T21</f>
        <v/>
      </c>
      <c r="Y21" s="5">
        <f>X21</f>
        <v/>
      </c>
      <c r="Z21" s="5">
        <f>(X21*2.0*12.0)/12</f>
        <v/>
      </c>
      <c r="AA21" s="6">
        <f>(Z21*I21)/1000</f>
        <v/>
      </c>
      <c r="AB21" s="6">
        <f>AA21*1.06</f>
        <v/>
      </c>
      <c r="AC21" s="5" t="n">
        <v>0</v>
      </c>
      <c r="AD21" s="5">
        <f>T21-AC21</f>
        <v/>
      </c>
      <c r="AE21" s="6">
        <f>((AD21*2.0*12.0)/12*I21)/1000</f>
        <v/>
      </c>
    </row>
    <row r="22">
      <c r="A22" s="2" t="inlineStr">
        <is>
          <t>Lumber</t>
        </is>
      </c>
      <c r="B22" s="3" t="inlineStr">
        <is>
          <t>2x12x10 SYP#2</t>
        </is>
      </c>
      <c r="C22" s="2" t="n">
        <v>2</v>
      </c>
      <c r="D22" s="2" t="n">
        <v>12</v>
      </c>
      <c r="E22" s="2" t="n">
        <v>10</v>
      </c>
      <c r="F22" s="4" t="n">
        <v>265</v>
      </c>
      <c r="G22" s="4" t="n">
        <v>0</v>
      </c>
      <c r="H22" s="4">
        <f>F22+G22</f>
        <v/>
      </c>
      <c r="I22" s="5" t="n">
        <v>715</v>
      </c>
      <c r="J22" s="5">
        <f>H22*10.0</f>
        <v/>
      </c>
      <c r="K22" s="5">
        <f>(H22*2.0*12.0*10.0)/12</f>
        <v/>
      </c>
      <c r="L22" s="6">
        <f>(K22*I22)/1000</f>
        <v/>
      </c>
      <c r="M22" s="6">
        <f>L22*1.06</f>
        <v/>
      </c>
      <c r="N22" s="4" t="n">
        <v>0</v>
      </c>
      <c r="O22" s="4" t="n">
        <v>0</v>
      </c>
      <c r="P22" s="4" t="n">
        <v>0</v>
      </c>
      <c r="Q22" s="4" t="n">
        <v>0</v>
      </c>
      <c r="R22" s="2" t="inlineStr"/>
      <c r="S22" s="4">
        <f>SUM(N22:Q22)</f>
        <v/>
      </c>
      <c r="T22" s="5">
        <f>S22*10.0</f>
        <v/>
      </c>
      <c r="U22" s="5">
        <f>(S22*2.0*12.0*10.0)/12</f>
        <v/>
      </c>
      <c r="V22" s="6">
        <f>(U22*I22)/1000</f>
        <v/>
      </c>
      <c r="W22" s="6">
        <f>V22*1.06</f>
        <v/>
      </c>
      <c r="X22" s="4">
        <f>H22-S22</f>
        <v/>
      </c>
      <c r="Y22" s="5">
        <f>X22*10.0</f>
        <v/>
      </c>
      <c r="Z22" s="5">
        <f>(X22*2.0*12.0*10.0)/12</f>
        <v/>
      </c>
      <c r="AA22" s="6">
        <f>(Z22*I22)/1000</f>
        <v/>
      </c>
      <c r="AB22" s="6">
        <f>AA22*1.06</f>
        <v/>
      </c>
      <c r="AC22" s="5" t="n">
        <v>0</v>
      </c>
      <c r="AD22" s="5">
        <f>T22-AC22</f>
        <v/>
      </c>
      <c r="AE22" s="6">
        <f>((AD22*2.0*12.0)/12*I22)/1000</f>
        <v/>
      </c>
    </row>
    <row r="23">
      <c r="A23" s="2" t="inlineStr">
        <is>
          <t>Lumber</t>
        </is>
      </c>
      <c r="B23" s="3" t="inlineStr">
        <is>
          <t>2x12x12 SYP#2</t>
        </is>
      </c>
      <c r="C23" s="2" t="n">
        <v>2</v>
      </c>
      <c r="D23" s="2" t="n">
        <v>12</v>
      </c>
      <c r="E23" s="2" t="n">
        <v>12</v>
      </c>
      <c r="F23" s="4" t="n">
        <v>974</v>
      </c>
      <c r="G23" s="4" t="n">
        <v>0</v>
      </c>
      <c r="H23" s="4">
        <f>F23+G23</f>
        <v/>
      </c>
      <c r="I23" s="5" t="n">
        <v>715</v>
      </c>
      <c r="J23" s="5">
        <f>H23*12.0</f>
        <v/>
      </c>
      <c r="K23" s="5">
        <f>(H23*2.0*12.0*12.0)/12</f>
        <v/>
      </c>
      <c r="L23" s="6">
        <f>(K23*I23)/1000</f>
        <v/>
      </c>
      <c r="M23" s="6">
        <f>L23*1.06</f>
        <v/>
      </c>
      <c r="N23" s="4" t="n">
        <v>0</v>
      </c>
      <c r="O23" s="4" t="n">
        <v>0</v>
      </c>
      <c r="P23" s="4" t="n">
        <v>0</v>
      </c>
      <c r="Q23" s="4" t="n">
        <v>0</v>
      </c>
      <c r="R23" s="2" t="inlineStr"/>
      <c r="S23" s="4">
        <f>SUM(N23:Q23)</f>
        <v/>
      </c>
      <c r="T23" s="5">
        <f>S23*12.0</f>
        <v/>
      </c>
      <c r="U23" s="5">
        <f>(S23*2.0*12.0*12.0)/12</f>
        <v/>
      </c>
      <c r="V23" s="6">
        <f>(U23*I23)/1000</f>
        <v/>
      </c>
      <c r="W23" s="6">
        <f>V23*1.06</f>
        <v/>
      </c>
      <c r="X23" s="4">
        <f>H23-S23</f>
        <v/>
      </c>
      <c r="Y23" s="5">
        <f>X23*12.0</f>
        <v/>
      </c>
      <c r="Z23" s="5">
        <f>(X23*2.0*12.0*12.0)/12</f>
        <v/>
      </c>
      <c r="AA23" s="6">
        <f>(Z23*I23)/1000</f>
        <v/>
      </c>
      <c r="AB23" s="6">
        <f>AA23*1.06</f>
        <v/>
      </c>
      <c r="AC23" s="5" t="n">
        <v>0</v>
      </c>
      <c r="AD23" s="5">
        <f>T23-AC23</f>
        <v/>
      </c>
      <c r="AE23" s="6">
        <f>((AD23*2.0*12.0)/12*I23)/1000</f>
        <v/>
      </c>
    </row>
    <row r="24">
      <c r="A24" s="2" t="inlineStr">
        <is>
          <t>Lumber</t>
        </is>
      </c>
      <c r="B24" s="3" t="inlineStr">
        <is>
          <t>2x4x8 SYP#2 PET</t>
        </is>
      </c>
      <c r="C24" s="2" t="n">
        <v>2</v>
      </c>
      <c r="D24" s="2" t="n">
        <v>4</v>
      </c>
      <c r="E24" s="2" t="n">
        <v>8</v>
      </c>
      <c r="F24" s="4" t="n">
        <v>102</v>
      </c>
      <c r="G24" s="4" t="n">
        <v>0</v>
      </c>
      <c r="H24" s="4">
        <f>F24+G24</f>
        <v/>
      </c>
      <c r="I24" s="5" t="n">
        <v>635</v>
      </c>
      <c r="J24" s="5">
        <f>H24*8.0</f>
        <v/>
      </c>
      <c r="K24" s="5">
        <f>(H24*2.0*4.0*8.0)/12</f>
        <v/>
      </c>
      <c r="L24" s="6">
        <f>(K24*I24)/1000</f>
        <v/>
      </c>
      <c r="M24" s="6">
        <f>L24*1.06</f>
        <v/>
      </c>
      <c r="N24" s="4" t="n">
        <v>0</v>
      </c>
      <c r="O24" s="4" t="n">
        <v>0</v>
      </c>
      <c r="P24" s="4" t="n">
        <v>0</v>
      </c>
      <c r="Q24" s="4" t="n">
        <v>0</v>
      </c>
      <c r="R24" s="2" t="inlineStr"/>
      <c r="S24" s="4">
        <f>SUM(N24:Q24)</f>
        <v/>
      </c>
      <c r="T24" s="5">
        <f>S24*8.0</f>
        <v/>
      </c>
      <c r="U24" s="5">
        <f>(S24*2.0*4.0*8.0)/12</f>
        <v/>
      </c>
      <c r="V24" s="6">
        <f>(U24*I24)/1000</f>
        <v/>
      </c>
      <c r="W24" s="6">
        <f>V24*1.06</f>
        <v/>
      </c>
      <c r="X24" s="4">
        <f>H24-S24</f>
        <v/>
      </c>
      <c r="Y24" s="5">
        <f>X24*8.0</f>
        <v/>
      </c>
      <c r="Z24" s="5">
        <f>(X24*2.0*4.0*8.0)/12</f>
        <v/>
      </c>
      <c r="AA24" s="6">
        <f>(Z24*I24)/1000</f>
        <v/>
      </c>
      <c r="AB24" s="6">
        <f>AA24*1.06</f>
        <v/>
      </c>
      <c r="AC24" s="5" t="n">
        <v>0</v>
      </c>
      <c r="AD24" s="5">
        <f>T24-AC24</f>
        <v/>
      </c>
      <c r="AE24" s="6">
        <f>((AD24*2.0*4.0)/12*I24)/1000</f>
        <v/>
      </c>
    </row>
    <row r="25">
      <c r="A25" s="2" t="inlineStr">
        <is>
          <t>Lumber</t>
        </is>
      </c>
      <c r="B25" s="3" t="inlineStr">
        <is>
          <t>2x4x18 SYP#2 PET</t>
        </is>
      </c>
      <c r="C25" s="2" t="n">
        <v>2</v>
      </c>
      <c r="D25" s="2" t="n">
        <v>4</v>
      </c>
      <c r="E25" s="2" t="n">
        <v>18</v>
      </c>
      <c r="F25" s="4" t="n">
        <v>20</v>
      </c>
      <c r="G25" s="4" t="n">
        <v>0</v>
      </c>
      <c r="H25" s="4">
        <f>F25+G25</f>
        <v/>
      </c>
      <c r="I25" s="5" t="n">
        <v>635</v>
      </c>
      <c r="J25" s="5">
        <f>H25*18.0</f>
        <v/>
      </c>
      <c r="K25" s="5">
        <f>(H25*2.0*4.0*18.0)/12</f>
        <v/>
      </c>
      <c r="L25" s="6">
        <f>(K25*I25)/1000</f>
        <v/>
      </c>
      <c r="M25" s="6">
        <f>L25*1.06</f>
        <v/>
      </c>
      <c r="N25" s="4" t="n">
        <v>0</v>
      </c>
      <c r="O25" s="4" t="n">
        <v>0</v>
      </c>
      <c r="P25" s="4" t="n">
        <v>0</v>
      </c>
      <c r="Q25" s="4" t="n">
        <v>0</v>
      </c>
      <c r="R25" s="2" t="inlineStr"/>
      <c r="S25" s="4">
        <f>SUM(N25:Q25)</f>
        <v/>
      </c>
      <c r="T25" s="5">
        <f>S25*18.0</f>
        <v/>
      </c>
      <c r="U25" s="5">
        <f>(S25*2.0*4.0*18.0)/12</f>
        <v/>
      </c>
      <c r="V25" s="6">
        <f>(U25*I25)/1000</f>
        <v/>
      </c>
      <c r="W25" s="6">
        <f>V25*1.06</f>
        <v/>
      </c>
      <c r="X25" s="4">
        <f>H25-S25</f>
        <v/>
      </c>
      <c r="Y25" s="5">
        <f>X25*18.0</f>
        <v/>
      </c>
      <c r="Z25" s="5">
        <f>(X25*2.0*4.0*18.0)/12</f>
        <v/>
      </c>
      <c r="AA25" s="6">
        <f>(Z25*I25)/1000</f>
        <v/>
      </c>
      <c r="AB25" s="6">
        <f>AA25*1.06</f>
        <v/>
      </c>
      <c r="AC25" s="5" t="n">
        <v>0</v>
      </c>
      <c r="AD25" s="5">
        <f>T25-AC25</f>
        <v/>
      </c>
      <c r="AE25" s="6">
        <f>((AD25*2.0*4.0)/12*I25)/1000</f>
        <v/>
      </c>
    </row>
    <row r="26">
      <c r="A26" s="2" t="inlineStr">
        <is>
          <t>Lumber</t>
        </is>
      </c>
      <c r="B26" s="3" t="inlineStr">
        <is>
          <t>2x6x8 SYP#2 PET</t>
        </is>
      </c>
      <c r="C26" s="2" t="n">
        <v>2</v>
      </c>
      <c r="D26" s="2" t="n">
        <v>6</v>
      </c>
      <c r="E26" s="2" t="n">
        <v>8</v>
      </c>
      <c r="F26" s="4" t="n">
        <v>379</v>
      </c>
      <c r="G26" s="4" t="n">
        <v>0</v>
      </c>
      <c r="H26" s="4">
        <f>F26+G26</f>
        <v/>
      </c>
      <c r="I26" s="5" t="n">
        <v>635</v>
      </c>
      <c r="J26" s="5">
        <f>H26*8.0</f>
        <v/>
      </c>
      <c r="K26" s="5">
        <f>(H26*2.0*6.0*8.0)/12</f>
        <v/>
      </c>
      <c r="L26" s="6">
        <f>(K26*I26)/1000</f>
        <v/>
      </c>
      <c r="M26" s="6">
        <f>L26*1.06</f>
        <v/>
      </c>
      <c r="N26" s="4" t="n">
        <v>0</v>
      </c>
      <c r="O26" s="4" t="n">
        <v>0</v>
      </c>
      <c r="P26" s="4" t="n">
        <v>0</v>
      </c>
      <c r="Q26" s="4" t="n">
        <v>0</v>
      </c>
      <c r="R26" s="2" t="inlineStr"/>
      <c r="S26" s="4">
        <f>SUM(N26:Q26)</f>
        <v/>
      </c>
      <c r="T26" s="5">
        <f>S26*8.0</f>
        <v/>
      </c>
      <c r="U26" s="5">
        <f>(S26*2.0*6.0*8.0)/12</f>
        <v/>
      </c>
      <c r="V26" s="6">
        <f>(U26*I26)/1000</f>
        <v/>
      </c>
      <c r="W26" s="6">
        <f>V26*1.06</f>
        <v/>
      </c>
      <c r="X26" s="4">
        <f>H26-S26</f>
        <v/>
      </c>
      <c r="Y26" s="5">
        <f>X26*8.0</f>
        <v/>
      </c>
      <c r="Z26" s="5">
        <f>(X26*2.0*6.0*8.0)/12</f>
        <v/>
      </c>
      <c r="AA26" s="6">
        <f>(Z26*I26)/1000</f>
        <v/>
      </c>
      <c r="AB26" s="6">
        <f>AA26*1.06</f>
        <v/>
      </c>
      <c r="AC26" s="5" t="n">
        <v>0</v>
      </c>
      <c r="AD26" s="5">
        <f>T26-AC26</f>
        <v/>
      </c>
      <c r="AE26" s="6">
        <f>((AD26*2.0*6.0)/12*I26)/1000</f>
        <v/>
      </c>
    </row>
    <row r="27">
      <c r="A27" s="2" t="inlineStr">
        <is>
          <t>Lumber</t>
        </is>
      </c>
      <c r="B27" s="3" t="inlineStr">
        <is>
          <t>2x6x18 SYP#2 PET</t>
        </is>
      </c>
      <c r="C27" s="2" t="n">
        <v>2</v>
      </c>
      <c r="D27" s="2" t="n">
        <v>6</v>
      </c>
      <c r="E27" s="2" t="n">
        <v>18</v>
      </c>
      <c r="F27" s="4" t="n">
        <v>31</v>
      </c>
      <c r="G27" s="4" t="n">
        <v>0</v>
      </c>
      <c r="H27" s="4">
        <f>F27+G27</f>
        <v/>
      </c>
      <c r="I27" s="5" t="n">
        <v>635</v>
      </c>
      <c r="J27" s="5">
        <f>H27*18.0</f>
        <v/>
      </c>
      <c r="K27" s="5">
        <f>(H27*2.0*6.0*18.0)/12</f>
        <v/>
      </c>
      <c r="L27" s="6">
        <f>(K27*I27)/1000</f>
        <v/>
      </c>
      <c r="M27" s="6">
        <f>L27*1.06</f>
        <v/>
      </c>
      <c r="N27" s="4" t="n">
        <v>0</v>
      </c>
      <c r="O27" s="4" t="n">
        <v>0</v>
      </c>
      <c r="P27" s="4" t="n">
        <v>0</v>
      </c>
      <c r="Q27" s="4" t="n">
        <v>0</v>
      </c>
      <c r="R27" s="2" t="inlineStr"/>
      <c r="S27" s="4">
        <f>SUM(N27:Q27)</f>
        <v/>
      </c>
      <c r="T27" s="5">
        <f>S27*18.0</f>
        <v/>
      </c>
      <c r="U27" s="5">
        <f>(S27*2.0*6.0*18.0)/12</f>
        <v/>
      </c>
      <c r="V27" s="6">
        <f>(U27*I27)/1000</f>
        <v/>
      </c>
      <c r="W27" s="6">
        <f>V27*1.06</f>
        <v/>
      </c>
      <c r="X27" s="4">
        <f>H27-S27</f>
        <v/>
      </c>
      <c r="Y27" s="5">
        <f>X27*18.0</f>
        <v/>
      </c>
      <c r="Z27" s="5">
        <f>(X27*2.0*6.0*18.0)/12</f>
        <v/>
      </c>
      <c r="AA27" s="6">
        <f>(Z27*I27)/1000</f>
        <v/>
      </c>
      <c r="AB27" s="6">
        <f>AA27*1.06</f>
        <v/>
      </c>
      <c r="AC27" s="5" t="n">
        <v>0</v>
      </c>
      <c r="AD27" s="5">
        <f>T27-AC27</f>
        <v/>
      </c>
      <c r="AE27" s="6">
        <f>((AD27*2.0*6.0)/12*I27)/1000</f>
        <v/>
      </c>
    </row>
    <row r="28">
      <c r="A28" s="2" t="inlineStr">
        <is>
          <t>Lumber</t>
        </is>
      </c>
      <c r="B28" s="3" t="inlineStr">
        <is>
          <t>2x4x9 SYP#2 PET 104-5/8</t>
        </is>
      </c>
      <c r="C28" s="2" t="n">
        <v>2</v>
      </c>
      <c r="D28" s="2" t="n">
        <v>4</v>
      </c>
      <c r="E28" s="2" t="n">
        <v>9</v>
      </c>
      <c r="F28" s="4" t="n">
        <v>36046</v>
      </c>
      <c r="G28" s="4" t="n">
        <v>0</v>
      </c>
      <c r="H28" s="4">
        <f>F28+G28</f>
        <v/>
      </c>
      <c r="I28" s="5" t="n">
        <v>635</v>
      </c>
      <c r="J28" s="5">
        <f>H28*9.0</f>
        <v/>
      </c>
      <c r="K28" s="5">
        <f>(H28*2.0*4.0*9.0)/12</f>
        <v/>
      </c>
      <c r="L28" s="6">
        <f>(K28*I28)/1000</f>
        <v/>
      </c>
      <c r="M28" s="6">
        <f>L28*1.06</f>
        <v/>
      </c>
      <c r="N28" s="4" t="n">
        <v>0</v>
      </c>
      <c r="O28" s="4" t="n">
        <v>0</v>
      </c>
      <c r="P28" s="4" t="n">
        <v>0</v>
      </c>
      <c r="Q28" s="4" t="n">
        <v>0</v>
      </c>
      <c r="R28" s="2" t="inlineStr"/>
      <c r="S28" s="4">
        <f>SUM(N28:Q28)</f>
        <v/>
      </c>
      <c r="T28" s="5">
        <f>S28*9.0</f>
        <v/>
      </c>
      <c r="U28" s="5">
        <f>(S28*2.0*4.0*9.0)/12</f>
        <v/>
      </c>
      <c r="V28" s="6">
        <f>(U28*I28)/1000</f>
        <v/>
      </c>
      <c r="W28" s="6">
        <f>V28*1.06</f>
        <v/>
      </c>
      <c r="X28" s="4">
        <f>H28-S28</f>
        <v/>
      </c>
      <c r="Y28" s="5">
        <f>X28*9.0</f>
        <v/>
      </c>
      <c r="Z28" s="5">
        <f>(X28*2.0*4.0*9.0)/12</f>
        <v/>
      </c>
      <c r="AA28" s="6">
        <f>(Z28*I28)/1000</f>
        <v/>
      </c>
      <c r="AB28" s="6">
        <f>AA28*1.06</f>
        <v/>
      </c>
      <c r="AC28" s="5" t="n">
        <v>0</v>
      </c>
      <c r="AD28" s="5">
        <f>T28-AC28</f>
        <v/>
      </c>
      <c r="AE28" s="6">
        <f>((AD28*2.0*4.0)/12*I28)/1000</f>
        <v/>
      </c>
    </row>
    <row r="29">
      <c r="A29" s="2" t="inlineStr">
        <is>
          <t>Lumber</t>
        </is>
      </c>
      <c r="B29" s="3" t="inlineStr">
        <is>
          <t>2x6x9 SYP#2 PET 104-5/8</t>
        </is>
      </c>
      <c r="C29" s="2" t="n">
        <v>2</v>
      </c>
      <c r="D29" s="2" t="n">
        <v>6</v>
      </c>
      <c r="E29" s="2" t="n">
        <v>9</v>
      </c>
      <c r="F29" s="4" t="n">
        <v>17395</v>
      </c>
      <c r="G29" s="4" t="n">
        <v>0</v>
      </c>
      <c r="H29" s="4">
        <f>F29+G29</f>
        <v/>
      </c>
      <c r="I29" s="5" t="n">
        <v>635</v>
      </c>
      <c r="J29" s="5">
        <f>H29*9.0</f>
        <v/>
      </c>
      <c r="K29" s="5">
        <f>(H29*2.0*6.0*9.0)/12</f>
        <v/>
      </c>
      <c r="L29" s="6">
        <f>(K29*I29)/1000</f>
        <v/>
      </c>
      <c r="M29" s="6">
        <f>L29*1.06</f>
        <v/>
      </c>
      <c r="N29" s="4" t="n">
        <v>0</v>
      </c>
      <c r="O29" s="4" t="n">
        <v>0</v>
      </c>
      <c r="P29" s="4" t="n">
        <v>0</v>
      </c>
      <c r="Q29" s="4" t="n">
        <v>0</v>
      </c>
      <c r="R29" s="2" t="inlineStr"/>
      <c r="S29" s="4">
        <f>SUM(N29:Q29)</f>
        <v/>
      </c>
      <c r="T29" s="5">
        <f>S29*9.0</f>
        <v/>
      </c>
      <c r="U29" s="5">
        <f>(S29*2.0*6.0*9.0)/12</f>
        <v/>
      </c>
      <c r="V29" s="6">
        <f>(U29*I29)/1000</f>
        <v/>
      </c>
      <c r="W29" s="6">
        <f>V29*1.06</f>
        <v/>
      </c>
      <c r="X29" s="4">
        <f>H29-S29</f>
        <v/>
      </c>
      <c r="Y29" s="5">
        <f>X29*9.0</f>
        <v/>
      </c>
      <c r="Z29" s="5">
        <f>(X29*2.0*6.0*9.0)/12</f>
        <v/>
      </c>
      <c r="AA29" s="6">
        <f>(Z29*I29)/1000</f>
        <v/>
      </c>
      <c r="AB29" s="6">
        <f>AA29*1.06</f>
        <v/>
      </c>
      <c r="AC29" s="5" t="n">
        <v>0</v>
      </c>
      <c r="AD29" s="5">
        <f>T29-AC29</f>
        <v/>
      </c>
      <c r="AE29" s="6">
        <f>((AD29*2.0*6.0)/12*I29)/1000</f>
        <v/>
      </c>
    </row>
    <row r="30">
      <c r="A30" s="2" t="inlineStr">
        <is>
          <t>Lumber</t>
        </is>
      </c>
      <c r="B30" s="3" t="inlineStr">
        <is>
          <t>2x6x9 SYP#2 PET 104-5/8 - PT</t>
        </is>
      </c>
      <c r="C30" s="2" t="n">
        <v>2</v>
      </c>
      <c r="D30" s="2" t="n">
        <v>6</v>
      </c>
      <c r="E30" s="2" t="n">
        <v>9</v>
      </c>
      <c r="F30" s="4" t="n">
        <v>5099</v>
      </c>
      <c r="G30" s="4" t="n">
        <v>0</v>
      </c>
      <c r="H30" s="4">
        <f>F30+G30</f>
        <v/>
      </c>
      <c r="I30" s="5" t="n">
        <v>755</v>
      </c>
      <c r="J30" s="5">
        <f>H30*9.0</f>
        <v/>
      </c>
      <c r="K30" s="5">
        <f>(H30*2.0*6.0*9.0)/12</f>
        <v/>
      </c>
      <c r="L30" s="6">
        <f>(K30*I30)/1000</f>
        <v/>
      </c>
      <c r="M30" s="6">
        <f>L30*1.06</f>
        <v/>
      </c>
      <c r="N30" s="4" t="n">
        <v>0</v>
      </c>
      <c r="O30" s="4" t="n">
        <v>0</v>
      </c>
      <c r="P30" s="4" t="n">
        <v>0</v>
      </c>
      <c r="Q30" s="4" t="n">
        <v>0</v>
      </c>
      <c r="R30" s="2" t="inlineStr"/>
      <c r="S30" s="4">
        <f>SUM(N30:Q30)</f>
        <v/>
      </c>
      <c r="T30" s="5">
        <f>S30*9.0</f>
        <v/>
      </c>
      <c r="U30" s="5">
        <f>(S30*2.0*6.0*9.0)/12</f>
        <v/>
      </c>
      <c r="V30" s="6">
        <f>(U30*I30)/1000</f>
        <v/>
      </c>
      <c r="W30" s="6">
        <f>V30*1.06</f>
        <v/>
      </c>
      <c r="X30" s="4">
        <f>H30-S30</f>
        <v/>
      </c>
      <c r="Y30" s="5">
        <f>X30*9.0</f>
        <v/>
      </c>
      <c r="Z30" s="5">
        <f>(X30*2.0*6.0*9.0)/12</f>
        <v/>
      </c>
      <c r="AA30" s="6">
        <f>(Z30*I30)/1000</f>
        <v/>
      </c>
      <c r="AB30" s="6">
        <f>AA30*1.06</f>
        <v/>
      </c>
      <c r="AC30" s="5" t="n">
        <v>0</v>
      </c>
      <c r="AD30" s="5">
        <f>T30-AC30</f>
        <v/>
      </c>
      <c r="AE30" s="6">
        <f>((AD30*2.0*6.0)/12*I30)/1000</f>
        <v/>
      </c>
    </row>
    <row r="31">
      <c r="A31" s="2" t="inlineStr">
        <is>
          <t>Lumber</t>
        </is>
      </c>
      <c r="B31" s="3" t="inlineStr">
        <is>
          <t>2x4x12 SYP #2 PET 122-5/8</t>
        </is>
      </c>
      <c r="C31" s="2" t="n">
        <v>2</v>
      </c>
      <c r="D31" s="2" t="n">
        <v>4</v>
      </c>
      <c r="E31" s="2" t="n">
        <v>12</v>
      </c>
      <c r="F31" s="4" t="n">
        <v>11005</v>
      </c>
      <c r="G31" s="4" t="n">
        <v>0</v>
      </c>
      <c r="H31" s="4">
        <f>F31+G31</f>
        <v/>
      </c>
      <c r="I31" s="5" t="n">
        <v>635</v>
      </c>
      <c r="J31" s="5">
        <f>H31*12.0</f>
        <v/>
      </c>
      <c r="K31" s="5">
        <f>(H31*2.0*4.0*12.0)/12</f>
        <v/>
      </c>
      <c r="L31" s="6">
        <f>(K31*I31)/1000</f>
        <v/>
      </c>
      <c r="M31" s="6">
        <f>L31*1.06</f>
        <v/>
      </c>
      <c r="N31" s="4" t="n">
        <v>0</v>
      </c>
      <c r="O31" s="4" t="n">
        <v>0</v>
      </c>
      <c r="P31" s="4" t="n">
        <v>0</v>
      </c>
      <c r="Q31" s="4" t="n">
        <v>0</v>
      </c>
      <c r="R31" s="2" t="inlineStr"/>
      <c r="S31" s="4">
        <f>SUM(N31:Q31)</f>
        <v/>
      </c>
      <c r="T31" s="5">
        <f>S31*12.0</f>
        <v/>
      </c>
      <c r="U31" s="5">
        <f>(S31*2.0*4.0*12.0)/12</f>
        <v/>
      </c>
      <c r="V31" s="6">
        <f>(U31*I31)/1000</f>
        <v/>
      </c>
      <c r="W31" s="6">
        <f>V31*1.06</f>
        <v/>
      </c>
      <c r="X31" s="4">
        <f>H31-S31</f>
        <v/>
      </c>
      <c r="Y31" s="5">
        <f>X31*12.0</f>
        <v/>
      </c>
      <c r="Z31" s="5">
        <f>(X31*2.0*4.0*12.0)/12</f>
        <v/>
      </c>
      <c r="AA31" s="6">
        <f>(Z31*I31)/1000</f>
        <v/>
      </c>
      <c r="AB31" s="6">
        <f>AA31*1.06</f>
        <v/>
      </c>
      <c r="AC31" s="5" t="n">
        <v>0</v>
      </c>
      <c r="AD31" s="5">
        <f>T31-AC31</f>
        <v/>
      </c>
      <c r="AE31" s="6">
        <f>((AD31*2.0*4.0)/12*I31)/1000</f>
        <v/>
      </c>
    </row>
    <row r="32">
      <c r="A32" s="2" t="inlineStr">
        <is>
          <t>Lumber</t>
        </is>
      </c>
      <c r="B32" s="3" t="inlineStr">
        <is>
          <t>2x4x12 SYP #2 Standard 12'</t>
        </is>
      </c>
      <c r="C32" s="2" t="n">
        <v>2</v>
      </c>
      <c r="D32" s="2" t="n">
        <v>4</v>
      </c>
      <c r="E32" s="2" t="n">
        <v>12</v>
      </c>
      <c r="F32" s="4" t="n">
        <v>87</v>
      </c>
      <c r="G32" s="4" t="n">
        <v>0</v>
      </c>
      <c r="H32" s="4">
        <f>F32+G32</f>
        <v/>
      </c>
      <c r="I32" s="5" t="n">
        <v>635</v>
      </c>
      <c r="J32" s="5">
        <f>H32*12.0</f>
        <v/>
      </c>
      <c r="K32" s="5">
        <f>(H32*2.0*4.0*12.0)/12</f>
        <v/>
      </c>
      <c r="L32" s="6">
        <f>(K32*I32)/1000</f>
        <v/>
      </c>
      <c r="M32" s="6">
        <f>L32*1.06</f>
        <v/>
      </c>
      <c r="N32" s="4" t="n">
        <v>0</v>
      </c>
      <c r="O32" s="4" t="n">
        <v>0</v>
      </c>
      <c r="P32" s="4" t="n">
        <v>0</v>
      </c>
      <c r="Q32" s="4" t="n">
        <v>0</v>
      </c>
      <c r="R32" s="2" t="inlineStr"/>
      <c r="S32" s="4">
        <f>SUM(N32:Q32)</f>
        <v/>
      </c>
      <c r="T32" s="5">
        <f>S32*12.0</f>
        <v/>
      </c>
      <c r="U32" s="5">
        <f>(S32*2.0*4.0*12.0)/12</f>
        <v/>
      </c>
      <c r="V32" s="6">
        <f>(U32*I32)/1000</f>
        <v/>
      </c>
      <c r="W32" s="6">
        <f>V32*1.06</f>
        <v/>
      </c>
      <c r="X32" s="4">
        <f>H32-S32</f>
        <v/>
      </c>
      <c r="Y32" s="5">
        <f>X32*12.0</f>
        <v/>
      </c>
      <c r="Z32" s="5">
        <f>(X32*2.0*4.0*12.0)/12</f>
        <v/>
      </c>
      <c r="AA32" s="6">
        <f>(Z32*I32)/1000</f>
        <v/>
      </c>
      <c r="AB32" s="6">
        <f>AA32*1.06</f>
        <v/>
      </c>
      <c r="AC32" s="5" t="n">
        <v>0</v>
      </c>
      <c r="AD32" s="5">
        <f>T32-AC32</f>
        <v/>
      </c>
      <c r="AE32" s="6">
        <f>((AD32*2.0*4.0)/12*I32)/1000</f>
        <v/>
      </c>
    </row>
    <row r="33">
      <c r="A33" s="2" t="inlineStr">
        <is>
          <t>Lumber</t>
        </is>
      </c>
      <c r="B33" s="3" t="inlineStr">
        <is>
          <t>2x6x12 SYP #2 PET 122-5/8</t>
        </is>
      </c>
      <c r="C33" s="2" t="n">
        <v>2</v>
      </c>
      <c r="D33" s="2" t="n">
        <v>6</v>
      </c>
      <c r="E33" s="2" t="n">
        <v>12</v>
      </c>
      <c r="F33" s="4" t="n">
        <v>46499</v>
      </c>
      <c r="G33" s="4" t="n">
        <v>0</v>
      </c>
      <c r="H33" s="4">
        <f>F33+G33</f>
        <v/>
      </c>
      <c r="I33" s="5" t="n">
        <v>635</v>
      </c>
      <c r="J33" s="5">
        <f>H33*12.0</f>
        <v/>
      </c>
      <c r="K33" s="5">
        <f>(H33*2.0*6.0*12.0)/12</f>
        <v/>
      </c>
      <c r="L33" s="6">
        <f>(K33*I33)/1000</f>
        <v/>
      </c>
      <c r="M33" s="6">
        <f>L33*1.06</f>
        <v/>
      </c>
      <c r="N33" s="4" t="n">
        <v>0</v>
      </c>
      <c r="O33" s="4" t="n">
        <v>0</v>
      </c>
      <c r="P33" s="4" t="n">
        <v>0</v>
      </c>
      <c r="Q33" s="4" t="n">
        <v>0</v>
      </c>
      <c r="R33" s="2" t="inlineStr"/>
      <c r="S33" s="4">
        <f>SUM(N33:Q33)</f>
        <v/>
      </c>
      <c r="T33" s="5">
        <f>S33*12.0</f>
        <v/>
      </c>
      <c r="U33" s="5">
        <f>(S33*2.0*6.0*12.0)/12</f>
        <v/>
      </c>
      <c r="V33" s="6">
        <f>(U33*I33)/1000</f>
        <v/>
      </c>
      <c r="W33" s="6">
        <f>V33*1.06</f>
        <v/>
      </c>
      <c r="X33" s="4">
        <f>H33-S33</f>
        <v/>
      </c>
      <c r="Y33" s="5">
        <f>X33*12.0</f>
        <v/>
      </c>
      <c r="Z33" s="5">
        <f>(X33*2.0*6.0*12.0)/12</f>
        <v/>
      </c>
      <c r="AA33" s="6">
        <f>(Z33*I33)/1000</f>
        <v/>
      </c>
      <c r="AB33" s="6">
        <f>AA33*1.06</f>
        <v/>
      </c>
      <c r="AC33" s="5" t="n">
        <v>0</v>
      </c>
      <c r="AD33" s="5">
        <f>T33-AC33</f>
        <v/>
      </c>
      <c r="AE33" s="6">
        <f>((AD33*2.0*6.0)/12*I33)/1000</f>
        <v/>
      </c>
    </row>
    <row r="34">
      <c r="A34" s="2" t="inlineStr">
        <is>
          <t>Lumber</t>
        </is>
      </c>
      <c r="B34" s="3" t="inlineStr">
        <is>
          <t>2x6x12 SYP #2 Standard 12'</t>
        </is>
      </c>
      <c r="C34" s="2" t="n">
        <v>2</v>
      </c>
      <c r="D34" s="2" t="n">
        <v>6</v>
      </c>
      <c r="E34" s="2" t="n">
        <v>12</v>
      </c>
      <c r="F34" s="4" t="n">
        <v>1357</v>
      </c>
      <c r="G34" s="4" t="n">
        <v>0</v>
      </c>
      <c r="H34" s="4">
        <f>F34+G34</f>
        <v/>
      </c>
      <c r="I34" s="5" t="n">
        <v>635</v>
      </c>
      <c r="J34" s="5">
        <f>H34*12.0</f>
        <v/>
      </c>
      <c r="K34" s="5">
        <f>(H34*2.0*6.0*12.0)/12</f>
        <v/>
      </c>
      <c r="L34" s="6">
        <f>(K34*I34)/1000</f>
        <v/>
      </c>
      <c r="M34" s="6">
        <f>L34*1.06</f>
        <v/>
      </c>
      <c r="N34" s="4" t="n">
        <v>0</v>
      </c>
      <c r="O34" s="4" t="n">
        <v>0</v>
      </c>
      <c r="P34" s="4" t="n">
        <v>0</v>
      </c>
      <c r="Q34" s="4" t="n">
        <v>0</v>
      </c>
      <c r="R34" s="2" t="inlineStr"/>
      <c r="S34" s="4">
        <f>SUM(N34:Q34)</f>
        <v/>
      </c>
      <c r="T34" s="5">
        <f>S34*12.0</f>
        <v/>
      </c>
      <c r="U34" s="5">
        <f>(S34*2.0*6.0*12.0)/12</f>
        <v/>
      </c>
      <c r="V34" s="6">
        <f>(U34*I34)/1000</f>
        <v/>
      </c>
      <c r="W34" s="6">
        <f>V34*1.06</f>
        <v/>
      </c>
      <c r="X34" s="4">
        <f>H34-S34</f>
        <v/>
      </c>
      <c r="Y34" s="5">
        <f>X34*12.0</f>
        <v/>
      </c>
      <c r="Z34" s="5">
        <f>(X34*2.0*6.0*12.0)/12</f>
        <v/>
      </c>
      <c r="AA34" s="6">
        <f>(Z34*I34)/1000</f>
        <v/>
      </c>
      <c r="AB34" s="6">
        <f>AA34*1.06</f>
        <v/>
      </c>
      <c r="AC34" s="5" t="n">
        <v>0</v>
      </c>
      <c r="AD34" s="5">
        <f>T34-AC34</f>
        <v/>
      </c>
      <c r="AE34" s="6">
        <f>((AD34*2.0*6.0)/12*I34)/1000</f>
        <v/>
      </c>
    </row>
    <row r="35">
      <c r="A35" s="2" t="inlineStr">
        <is>
          <t>Lumber</t>
        </is>
      </c>
      <c r="B35" s="3" t="inlineStr">
        <is>
          <t>SYP #2 RED SAFETY RAIL 2X4X12 (CO#007)</t>
        </is>
      </c>
      <c r="C35" s="2" t="n">
        <v>2</v>
      </c>
      <c r="D35" s="2" t="n">
        <v>4</v>
      </c>
      <c r="E35" s="2" t="n">
        <v>12</v>
      </c>
      <c r="F35" s="4" t="n">
        <v>0</v>
      </c>
      <c r="G35" s="4" t="n">
        <v>624</v>
      </c>
      <c r="H35" s="4">
        <f>F35+G35</f>
        <v/>
      </c>
      <c r="I35" s="5" t="n">
        <v>935</v>
      </c>
      <c r="J35" s="5">
        <f>H35*12.0</f>
        <v/>
      </c>
      <c r="K35" s="5">
        <f>(H35*2.0*4.0*12.0)/12</f>
        <v/>
      </c>
      <c r="L35" s="6">
        <f>(K35*I35)/1000</f>
        <v/>
      </c>
      <c r="M35" s="6">
        <f>L35*1.06</f>
        <v/>
      </c>
      <c r="N35" s="4" t="n">
        <v>0</v>
      </c>
      <c r="O35" s="4" t="n">
        <v>0</v>
      </c>
      <c r="P35" s="4" t="n">
        <v>0</v>
      </c>
      <c r="Q35" s="4" t="n">
        <v>0</v>
      </c>
      <c r="R35" s="2" t="inlineStr"/>
      <c r="S35" s="4">
        <f>SUM(N35:Q35)</f>
        <v/>
      </c>
      <c r="T35" s="5">
        <f>S35*12.0</f>
        <v/>
      </c>
      <c r="U35" s="5">
        <f>(S35*2.0*4.0*12.0)/12</f>
        <v/>
      </c>
      <c r="V35" s="6">
        <f>(U35*I35)/1000</f>
        <v/>
      </c>
      <c r="W35" s="6">
        <f>V35*1.06</f>
        <v/>
      </c>
      <c r="X35" s="4">
        <f>H35-S35</f>
        <v/>
      </c>
      <c r="Y35" s="5">
        <f>X35*12.0</f>
        <v/>
      </c>
      <c r="Z35" s="5">
        <f>(X35*2.0*4.0*12.0)/12</f>
        <v/>
      </c>
      <c r="AA35" s="6">
        <f>(Z35*I35)/1000</f>
        <v/>
      </c>
      <c r="AB35" s="6">
        <f>AA35*1.06</f>
        <v/>
      </c>
      <c r="AC35" s="5" t="n">
        <v>0</v>
      </c>
      <c r="AD35" s="5">
        <f>T35-AC35</f>
        <v/>
      </c>
      <c r="AE35" s="6">
        <f>((AD35*2.0*4.0)/12*I35)/1000</f>
        <v/>
      </c>
    </row>
    <row r="36" ht="18" customHeight="1">
      <c r="A36" s="7" t="inlineStr">
        <is>
          <t>LUMBER SUBTOTAL</t>
        </is>
      </c>
      <c r="B36" s="8" t="inlineStr"/>
      <c r="C36" s="8" t="inlineStr"/>
      <c r="D36" s="8" t="inlineStr"/>
      <c r="E36" s="8" t="inlineStr"/>
      <c r="F36" s="9">
        <f>SUM(F2:F35)</f>
        <v/>
      </c>
      <c r="G36" s="9">
        <f>SUM(G2:G35)</f>
        <v/>
      </c>
      <c r="H36" s="9">
        <f>SUM(H2:H35)</f>
        <v/>
      </c>
      <c r="I36" s="8" t="inlineStr"/>
      <c r="J36" s="10">
        <f>SUM(J2:J35)</f>
        <v/>
      </c>
      <c r="K36" s="10">
        <f>SUM(K2:K35)</f>
        <v/>
      </c>
      <c r="L36" s="11">
        <f>SUM(L2:L35)</f>
        <v/>
      </c>
      <c r="M36" s="11">
        <f>SUM(M2:M35)</f>
        <v/>
      </c>
      <c r="N36" s="8">
        <f>SUM(N2:N35)</f>
        <v/>
      </c>
      <c r="O36" s="8">
        <f>SUM(O2:O35)</f>
        <v/>
      </c>
      <c r="P36" s="8">
        <f>SUM(P2:P35)</f>
        <v/>
      </c>
      <c r="Q36" s="8">
        <f>SUM(Q2:Q35)</f>
        <v/>
      </c>
      <c r="R36" s="8" t="inlineStr"/>
      <c r="S36" s="9">
        <f>SUM(S2:S35)</f>
        <v/>
      </c>
      <c r="T36" s="10">
        <f>SUM(T2:T35)</f>
        <v/>
      </c>
      <c r="U36" s="10">
        <f>SUM(U2:U35)</f>
        <v/>
      </c>
      <c r="V36" s="11">
        <f>SUM(V2:V35)</f>
        <v/>
      </c>
      <c r="W36" s="11">
        <f>SUM(W2:W35)</f>
        <v/>
      </c>
      <c r="X36" s="9">
        <f>SUM(X2:X35)</f>
        <v/>
      </c>
      <c r="Y36" s="10">
        <f>SUM(Y2:Y35)</f>
        <v/>
      </c>
      <c r="Z36" s="10">
        <f>SUM(Z2:Z35)</f>
        <v/>
      </c>
      <c r="AA36" s="11">
        <f>SUM(AA2:AA35)</f>
        <v/>
      </c>
      <c r="AB36" s="11">
        <f>SUM(AB2:AB35)</f>
        <v/>
      </c>
      <c r="AC36" s="10">
        <f>SUM(AC2:AC35)</f>
        <v/>
      </c>
      <c r="AD36" s="10">
        <f>SUM(AD2:AD35)</f>
        <v/>
      </c>
      <c r="AE36" s="11">
        <f>SUM(AE2:AE35)</f>
        <v/>
      </c>
    </row>
    <row r="37" ht="5" customHeight="1"/>
    <row r="38">
      <c r="A38" s="12" t="inlineStr">
        <is>
          <t>LVL</t>
        </is>
      </c>
      <c r="B38" s="13" t="inlineStr">
        <is>
          <t>1-3/4 X 9-1/4 PT LSL</t>
        </is>
      </c>
      <c r="C38" s="12" t="n">
        <v>1.75</v>
      </c>
      <c r="D38" s="12" t="n">
        <v>9.25</v>
      </c>
      <c r="E38" s="12" t="n">
        <v>1</v>
      </c>
      <c r="F38" s="14" t="n">
        <v>354</v>
      </c>
      <c r="G38" s="14" t="n">
        <v>0</v>
      </c>
      <c r="H38" s="14">
        <f>F38+G38</f>
        <v/>
      </c>
      <c r="I38" s="15" t="n">
        <v>13.35</v>
      </c>
      <c r="J38" s="15">
        <f>H38*1.0</f>
        <v/>
      </c>
      <c r="K38" s="15" t="n">
        <v>0</v>
      </c>
      <c r="L38" s="16">
        <f>J38*I38</f>
        <v/>
      </c>
      <c r="M38" s="16">
        <f>L38*1.06</f>
        <v/>
      </c>
      <c r="N38" s="14" t="n">
        <v>0</v>
      </c>
      <c r="O38" s="14" t="n">
        <v>0</v>
      </c>
      <c r="P38" s="14" t="n">
        <v>0</v>
      </c>
      <c r="Q38" s="14" t="n">
        <v>0</v>
      </c>
      <c r="R38" s="12" t="inlineStr"/>
      <c r="S38" s="14">
        <f>SUM(N38:Q38)</f>
        <v/>
      </c>
      <c r="T38" s="15">
        <f>S38</f>
        <v/>
      </c>
      <c r="U38" s="15">
        <f>(S38*1.75*9.25)/12</f>
        <v/>
      </c>
      <c r="V38" s="16">
        <f>T38*I38</f>
        <v/>
      </c>
      <c r="W38" s="16">
        <f>V38*1.06</f>
        <v/>
      </c>
      <c r="X38" s="14">
        <f>J38-T38</f>
        <v/>
      </c>
      <c r="Y38" s="15">
        <f>X38</f>
        <v/>
      </c>
      <c r="Z38" s="15">
        <f>(X38*1.75*9.25)/12</f>
        <v/>
      </c>
      <c r="AA38" s="16">
        <f>X38*I38</f>
        <v/>
      </c>
      <c r="AB38" s="16">
        <f>AA38*1.06</f>
        <v/>
      </c>
      <c r="AC38" s="15" t="n">
        <v>0</v>
      </c>
      <c r="AD38" s="15">
        <f>T38-AC38</f>
        <v/>
      </c>
      <c r="AE38" s="16">
        <f>AD38*I38</f>
        <v/>
      </c>
    </row>
    <row r="39">
      <c r="A39" s="12" t="inlineStr">
        <is>
          <t>LVL</t>
        </is>
      </c>
      <c r="B39" s="13" t="inlineStr">
        <is>
          <t>1-3/4 X 11-7/8 LVL</t>
        </is>
      </c>
      <c r="C39" s="12" t="n">
        <v>1.75</v>
      </c>
      <c r="D39" s="12" t="n">
        <v>11.875</v>
      </c>
      <c r="E39" s="12" t="n">
        <v>12</v>
      </c>
      <c r="F39" s="14" t="n">
        <v>8</v>
      </c>
      <c r="G39" s="14" t="n">
        <v>0</v>
      </c>
      <c r="H39" s="14">
        <f>F39+G39</f>
        <v/>
      </c>
      <c r="I39" s="15" t="n">
        <v>6.85</v>
      </c>
      <c r="J39" s="15">
        <f>H39*12.0</f>
        <v/>
      </c>
      <c r="K39" s="15" t="n">
        <v>0</v>
      </c>
      <c r="L39" s="16">
        <f>J39*I39</f>
        <v/>
      </c>
      <c r="M39" s="16">
        <f>L39*1.06</f>
        <v/>
      </c>
      <c r="N39" s="14" t="n">
        <v>0</v>
      </c>
      <c r="O39" s="14" t="n">
        <v>0</v>
      </c>
      <c r="P39" s="14" t="n">
        <v>0</v>
      </c>
      <c r="Q39" s="14" t="n">
        <v>0</v>
      </c>
      <c r="R39" s="12" t="inlineStr"/>
      <c r="S39" s="14">
        <f>SUM(N39:Q39)</f>
        <v/>
      </c>
      <c r="T39" s="15">
        <f>S39*12.0</f>
        <v/>
      </c>
      <c r="U39" s="15">
        <f>(S39*1.75*11.875*12.0)/12</f>
        <v/>
      </c>
      <c r="V39" s="16">
        <f>T39*I39</f>
        <v/>
      </c>
      <c r="W39" s="16">
        <f>V39*1.06</f>
        <v/>
      </c>
      <c r="X39" s="14">
        <f>H39-S39</f>
        <v/>
      </c>
      <c r="Y39" s="15">
        <f>X39*12.0</f>
        <v/>
      </c>
      <c r="Z39" s="15" t="n">
        <v>0</v>
      </c>
      <c r="AA39" s="16">
        <f>Y39*I39</f>
        <v/>
      </c>
      <c r="AB39" s="16">
        <f>AA39*1.06</f>
        <v/>
      </c>
      <c r="AC39" s="15" t="n">
        <v>0</v>
      </c>
      <c r="AD39" s="15">
        <f>T39-AC39</f>
        <v/>
      </c>
      <c r="AE39" s="16">
        <f>AD39*I39</f>
        <v/>
      </c>
    </row>
    <row r="40">
      <c r="A40" s="12" t="inlineStr">
        <is>
          <t>LVL</t>
        </is>
      </c>
      <c r="B40" s="13" t="inlineStr">
        <is>
          <t>1-3/4 X 11-7/8 LVL</t>
        </is>
      </c>
      <c r="C40" s="12" t="n">
        <v>1.75</v>
      </c>
      <c r="D40" s="12" t="n">
        <v>11.875</v>
      </c>
      <c r="E40" s="12" t="n">
        <v>10</v>
      </c>
      <c r="F40" s="14" t="n">
        <v>25</v>
      </c>
      <c r="G40" s="14" t="n">
        <v>0</v>
      </c>
      <c r="H40" s="14">
        <f>F40+G40</f>
        <v/>
      </c>
      <c r="I40" s="15" t="n">
        <v>6.85</v>
      </c>
      <c r="J40" s="15">
        <f>H40*10.0</f>
        <v/>
      </c>
      <c r="K40" s="15" t="n">
        <v>0</v>
      </c>
      <c r="L40" s="16">
        <f>J40*I40</f>
        <v/>
      </c>
      <c r="M40" s="16">
        <f>L40*1.06</f>
        <v/>
      </c>
      <c r="N40" s="14" t="n">
        <v>0</v>
      </c>
      <c r="O40" s="14" t="n">
        <v>0</v>
      </c>
      <c r="P40" s="14" t="n">
        <v>0</v>
      </c>
      <c r="Q40" s="14" t="n">
        <v>0</v>
      </c>
      <c r="R40" s="12" t="inlineStr"/>
      <c r="S40" s="14">
        <f>SUM(N40:Q40)</f>
        <v/>
      </c>
      <c r="T40" s="15">
        <f>S40*10.0</f>
        <v/>
      </c>
      <c r="U40" s="15">
        <f>(S40*1.75*11.875*10.0)/12</f>
        <v/>
      </c>
      <c r="V40" s="16">
        <f>T40*I40</f>
        <v/>
      </c>
      <c r="W40" s="16">
        <f>V40*1.06</f>
        <v/>
      </c>
      <c r="X40" s="14">
        <f>H40-S40</f>
        <v/>
      </c>
      <c r="Y40" s="15">
        <f>X40*10.0</f>
        <v/>
      </c>
      <c r="Z40" s="15" t="n">
        <v>0</v>
      </c>
      <c r="AA40" s="16">
        <f>Y40*I40</f>
        <v/>
      </c>
      <c r="AB40" s="16">
        <f>AA40*1.06</f>
        <v/>
      </c>
      <c r="AC40" s="15" t="n">
        <v>0</v>
      </c>
      <c r="AD40" s="15">
        <f>T40-AC40</f>
        <v/>
      </c>
      <c r="AE40" s="16">
        <f>AD40*I40</f>
        <v/>
      </c>
    </row>
    <row r="41">
      <c r="A41" s="12" t="inlineStr">
        <is>
          <t>LVL</t>
        </is>
      </c>
      <c r="B41" s="13" t="inlineStr">
        <is>
          <t>1-3/4 X 9-1/4 LSL/LVL</t>
        </is>
      </c>
      <c r="C41" s="12" t="n">
        <v>1.75</v>
      </c>
      <c r="D41" s="12" t="n">
        <v>9.25</v>
      </c>
      <c r="E41" s="12" t="n">
        <v>1</v>
      </c>
      <c r="F41" s="14" t="n">
        <v>3765</v>
      </c>
      <c r="G41" s="14" t="n">
        <v>0</v>
      </c>
      <c r="H41" s="14">
        <f>F41+G41</f>
        <v/>
      </c>
      <c r="I41" s="15" t="n">
        <v>5.5</v>
      </c>
      <c r="J41" s="15">
        <f>H41*1.0</f>
        <v/>
      </c>
      <c r="K41" s="15" t="n">
        <v>0</v>
      </c>
      <c r="L41" s="16">
        <f>J41*I41</f>
        <v/>
      </c>
      <c r="M41" s="16">
        <f>L41*1.06</f>
        <v/>
      </c>
      <c r="N41" s="14" t="n">
        <v>0</v>
      </c>
      <c r="O41" s="14" t="n">
        <v>0</v>
      </c>
      <c r="P41" s="14" t="n">
        <v>0</v>
      </c>
      <c r="Q41" s="14" t="n">
        <v>0</v>
      </c>
      <c r="R41" s="12" t="inlineStr"/>
      <c r="S41" s="14">
        <f>SUM(N41:Q41)</f>
        <v/>
      </c>
      <c r="T41" s="15">
        <f>S41</f>
        <v/>
      </c>
      <c r="U41" s="15">
        <f>(S41*1.75*9.25)/12</f>
        <v/>
      </c>
      <c r="V41" s="16">
        <f>T41*I41</f>
        <v/>
      </c>
      <c r="W41" s="16">
        <f>V41*1.06</f>
        <v/>
      </c>
      <c r="X41" s="14">
        <f>J41-T41</f>
        <v/>
      </c>
      <c r="Y41" s="15">
        <f>X41</f>
        <v/>
      </c>
      <c r="Z41" s="15">
        <f>(X41*1.75*9.25)/12</f>
        <v/>
      </c>
      <c r="AA41" s="16">
        <f>X41*I41</f>
        <v/>
      </c>
      <c r="AB41" s="16">
        <f>AA41*1.06</f>
        <v/>
      </c>
      <c r="AC41" s="15" t="n">
        <v>0</v>
      </c>
      <c r="AD41" s="15">
        <f>T41-AC41</f>
        <v/>
      </c>
      <c r="AE41" s="16">
        <f>AD41*I41</f>
        <v/>
      </c>
    </row>
    <row r="42">
      <c r="A42" s="12" t="inlineStr">
        <is>
          <t>LVL</t>
        </is>
      </c>
      <c r="B42" s="13" t="inlineStr">
        <is>
          <t>1-3/4 X 9-1/4 LSL/LVL</t>
        </is>
      </c>
      <c r="C42" s="12" t="n">
        <v>1.75</v>
      </c>
      <c r="D42" s="12" t="n">
        <v>9.25</v>
      </c>
      <c r="E42" s="12" t="n">
        <v>10</v>
      </c>
      <c r="F42" s="14" t="n">
        <v>79</v>
      </c>
      <c r="G42" s="14" t="n">
        <v>0</v>
      </c>
      <c r="H42" s="14">
        <f>F42+G42</f>
        <v/>
      </c>
      <c r="I42" s="15" t="n">
        <v>5.5</v>
      </c>
      <c r="J42" s="15">
        <f>H42*10.0</f>
        <v/>
      </c>
      <c r="K42" s="15" t="n">
        <v>0</v>
      </c>
      <c r="L42" s="16">
        <f>J42*I42</f>
        <v/>
      </c>
      <c r="M42" s="16">
        <f>L42*1.06</f>
        <v/>
      </c>
      <c r="N42" s="14" t="n">
        <v>0</v>
      </c>
      <c r="O42" s="14" t="n">
        <v>0</v>
      </c>
      <c r="P42" s="14" t="n">
        <v>0</v>
      </c>
      <c r="Q42" s="14" t="n">
        <v>0</v>
      </c>
      <c r="R42" s="12" t="inlineStr"/>
      <c r="S42" s="14">
        <f>SUM(N42:Q42)</f>
        <v/>
      </c>
      <c r="T42" s="15">
        <f>S42*10.0</f>
        <v/>
      </c>
      <c r="U42" s="15">
        <f>(S42*1.75*9.25*10.0)/12</f>
        <v/>
      </c>
      <c r="V42" s="16">
        <f>T42*I42</f>
        <v/>
      </c>
      <c r="W42" s="16">
        <f>V42*1.06</f>
        <v/>
      </c>
      <c r="X42" s="14">
        <f>H42-S42</f>
        <v/>
      </c>
      <c r="Y42" s="15">
        <f>X42*10.0</f>
        <v/>
      </c>
      <c r="Z42" s="15" t="n">
        <v>0</v>
      </c>
      <c r="AA42" s="16">
        <f>Y42*I42</f>
        <v/>
      </c>
      <c r="AB42" s="16">
        <f>AA42*1.06</f>
        <v/>
      </c>
      <c r="AC42" s="15" t="n">
        <v>0</v>
      </c>
      <c r="AD42" s="15">
        <f>T42-AC42</f>
        <v/>
      </c>
      <c r="AE42" s="16">
        <f>AD42*I42</f>
        <v/>
      </c>
    </row>
    <row r="43">
      <c r="A43" s="12" t="inlineStr">
        <is>
          <t>LVL</t>
        </is>
      </c>
      <c r="B43" s="13" t="inlineStr">
        <is>
          <t>1-3/4 X 9-1/4 LSL/LVL</t>
        </is>
      </c>
      <c r="C43" s="12" t="n">
        <v>1.75</v>
      </c>
      <c r="D43" s="12" t="n">
        <v>9.25</v>
      </c>
      <c r="E43" s="12" t="n">
        <v>12</v>
      </c>
      <c r="F43" s="14" t="n">
        <v>79</v>
      </c>
      <c r="G43" s="14" t="n">
        <v>0</v>
      </c>
      <c r="H43" s="14">
        <f>F43+G43</f>
        <v/>
      </c>
      <c r="I43" s="15" t="n">
        <v>5.5</v>
      </c>
      <c r="J43" s="15">
        <f>H43*12.0</f>
        <v/>
      </c>
      <c r="K43" s="15" t="n">
        <v>0</v>
      </c>
      <c r="L43" s="16">
        <f>J43*I43</f>
        <v/>
      </c>
      <c r="M43" s="16">
        <f>L43*1.06</f>
        <v/>
      </c>
      <c r="N43" s="14" t="n">
        <v>0</v>
      </c>
      <c r="O43" s="14" t="n">
        <v>0</v>
      </c>
      <c r="P43" s="14" t="n">
        <v>0</v>
      </c>
      <c r="Q43" s="14" t="n">
        <v>0</v>
      </c>
      <c r="R43" s="12" t="inlineStr"/>
      <c r="S43" s="14">
        <f>SUM(N43:Q43)</f>
        <v/>
      </c>
      <c r="T43" s="15">
        <f>S43*12.0</f>
        <v/>
      </c>
      <c r="U43" s="15">
        <f>(S43*1.75*9.25*12.0)/12</f>
        <v/>
      </c>
      <c r="V43" s="16">
        <f>T43*I43</f>
        <v/>
      </c>
      <c r="W43" s="16">
        <f>V43*1.06</f>
        <v/>
      </c>
      <c r="X43" s="14">
        <f>H43-S43</f>
        <v/>
      </c>
      <c r="Y43" s="15">
        <f>X43*12.0</f>
        <v/>
      </c>
      <c r="Z43" s="15" t="n">
        <v>0</v>
      </c>
      <c r="AA43" s="16">
        <f>Y43*I43</f>
        <v/>
      </c>
      <c r="AB43" s="16">
        <f>AA43*1.06</f>
        <v/>
      </c>
      <c r="AC43" s="15" t="n">
        <v>0</v>
      </c>
      <c r="AD43" s="15">
        <f>T43-AC43</f>
        <v/>
      </c>
      <c r="AE43" s="16">
        <f>AD43*I43</f>
        <v/>
      </c>
    </row>
    <row r="44">
      <c r="A44" s="12" t="inlineStr">
        <is>
          <t>LVL</t>
        </is>
      </c>
      <c r="B44" s="13" t="inlineStr">
        <is>
          <t>1-3/4 X 9-1/4 LSL/LVL</t>
        </is>
      </c>
      <c r="C44" s="12" t="n">
        <v>1.75</v>
      </c>
      <c r="D44" s="12" t="n">
        <v>9.25</v>
      </c>
      <c r="E44" s="12" t="n">
        <v>18</v>
      </c>
      <c r="F44" s="14" t="n">
        <v>64</v>
      </c>
      <c r="G44" s="14" t="n">
        <v>0</v>
      </c>
      <c r="H44" s="14">
        <f>F44+G44</f>
        <v/>
      </c>
      <c r="I44" s="15" t="n">
        <v>5.5</v>
      </c>
      <c r="J44" s="15">
        <f>H44*18.0</f>
        <v/>
      </c>
      <c r="K44" s="15" t="n">
        <v>0</v>
      </c>
      <c r="L44" s="16">
        <f>J44*I44</f>
        <v/>
      </c>
      <c r="M44" s="16">
        <f>L44*1.06</f>
        <v/>
      </c>
      <c r="N44" s="14" t="n">
        <v>0</v>
      </c>
      <c r="O44" s="14" t="n">
        <v>0</v>
      </c>
      <c r="P44" s="14" t="n">
        <v>0</v>
      </c>
      <c r="Q44" s="14" t="n">
        <v>0</v>
      </c>
      <c r="R44" s="12" t="inlineStr"/>
      <c r="S44" s="14">
        <f>SUM(N44:Q44)</f>
        <v/>
      </c>
      <c r="T44" s="15">
        <f>S44*18.0</f>
        <v/>
      </c>
      <c r="U44" s="15">
        <f>(S44*1.75*9.25*18.0)/12</f>
        <v/>
      </c>
      <c r="V44" s="16">
        <f>T44*I44</f>
        <v/>
      </c>
      <c r="W44" s="16">
        <f>V44*1.06</f>
        <v/>
      </c>
      <c r="X44" s="14">
        <f>H44-S44</f>
        <v/>
      </c>
      <c r="Y44" s="15">
        <f>X44*18.0</f>
        <v/>
      </c>
      <c r="Z44" s="15" t="n">
        <v>0</v>
      </c>
      <c r="AA44" s="16">
        <f>Y44*I44</f>
        <v/>
      </c>
      <c r="AB44" s="16">
        <f>AA44*1.06</f>
        <v/>
      </c>
      <c r="AC44" s="15" t="n">
        <v>0</v>
      </c>
      <c r="AD44" s="15">
        <f>T44-AC44</f>
        <v/>
      </c>
      <c r="AE44" s="16">
        <f>AD44*I44</f>
        <v/>
      </c>
    </row>
    <row r="45">
      <c r="A45" s="12" t="inlineStr">
        <is>
          <t>LVL</t>
        </is>
      </c>
      <c r="B45" s="13" t="inlineStr">
        <is>
          <t>5-1/2x12' COMPOSITE DECKING TREX BASIC</t>
        </is>
      </c>
      <c r="C45" s="12" t="n">
        <v>5.5</v>
      </c>
      <c r="D45" s="12" t="n">
        <v>12</v>
      </c>
      <c r="E45" s="12" t="n">
        <v>12</v>
      </c>
      <c r="F45" s="14" t="n">
        <v>2457</v>
      </c>
      <c r="G45" s="14" t="n">
        <v>0</v>
      </c>
      <c r="H45" s="14">
        <f>F45+G45</f>
        <v/>
      </c>
      <c r="I45" s="15" t="n">
        <v>2.25</v>
      </c>
      <c r="J45" s="15">
        <f>H45*12.0</f>
        <v/>
      </c>
      <c r="K45" s="15" t="n">
        <v>0</v>
      </c>
      <c r="L45" s="16">
        <f>J45*I45</f>
        <v/>
      </c>
      <c r="M45" s="16">
        <f>L45*1.06</f>
        <v/>
      </c>
      <c r="N45" s="14" t="n">
        <v>0</v>
      </c>
      <c r="O45" s="14" t="n">
        <v>0</v>
      </c>
      <c r="P45" s="14" t="n">
        <v>0</v>
      </c>
      <c r="Q45" s="14" t="n">
        <v>0</v>
      </c>
      <c r="R45" s="12" t="inlineStr"/>
      <c r="S45" s="14">
        <f>SUM(N45:Q45)</f>
        <v/>
      </c>
      <c r="T45" s="15">
        <f>S45*12.0</f>
        <v/>
      </c>
      <c r="U45" s="15">
        <f>(S45*5.5*12.0*12.0)/12</f>
        <v/>
      </c>
      <c r="V45" s="16">
        <f>T45*I45</f>
        <v/>
      </c>
      <c r="W45" s="16">
        <f>V45*1.06</f>
        <v/>
      </c>
      <c r="X45" s="14">
        <f>H45-S45</f>
        <v/>
      </c>
      <c r="Y45" s="15">
        <f>X45*12.0</f>
        <v/>
      </c>
      <c r="Z45" s="15" t="n">
        <v>0</v>
      </c>
      <c r="AA45" s="16">
        <f>Y45*I45</f>
        <v/>
      </c>
      <c r="AB45" s="16">
        <f>AA45*1.06</f>
        <v/>
      </c>
      <c r="AC45" s="15" t="n">
        <v>0</v>
      </c>
      <c r="AD45" s="15">
        <f>T45-AC45</f>
        <v/>
      </c>
      <c r="AE45" s="16">
        <f>AD45*I45</f>
        <v/>
      </c>
    </row>
    <row r="46" ht="18" customHeight="1">
      <c r="A46" s="17" t="inlineStr">
        <is>
          <t>LVL SUBTOTAL</t>
        </is>
      </c>
      <c r="B46" s="18" t="inlineStr"/>
      <c r="C46" s="18" t="inlineStr"/>
      <c r="D46" s="18" t="inlineStr"/>
      <c r="E46" s="18" t="inlineStr"/>
      <c r="F46" s="19">
        <f>SUM(F38:F45)</f>
        <v/>
      </c>
      <c r="G46" s="19">
        <f>SUM(G38:G45)</f>
        <v/>
      </c>
      <c r="H46" s="19">
        <f>SUM(H38:H45)</f>
        <v/>
      </c>
      <c r="I46" s="18" t="inlineStr"/>
      <c r="J46" s="20">
        <f>SUM(J38:J45)</f>
        <v/>
      </c>
      <c r="K46" s="20">
        <f>SUM(K38:K45)</f>
        <v/>
      </c>
      <c r="L46" s="21">
        <f>SUM(L38:L45)</f>
        <v/>
      </c>
      <c r="M46" s="21">
        <f>SUM(M38:M45)</f>
        <v/>
      </c>
      <c r="N46" s="18">
        <f>SUM(N38:N45)</f>
        <v/>
      </c>
      <c r="O46" s="18">
        <f>SUM(O38:O45)</f>
        <v/>
      </c>
      <c r="P46" s="18">
        <f>SUM(P38:P45)</f>
        <v/>
      </c>
      <c r="Q46" s="18">
        <f>SUM(Q38:Q45)</f>
        <v/>
      </c>
      <c r="R46" s="18" t="inlineStr"/>
      <c r="S46" s="19">
        <f>SUM(S38:S45)</f>
        <v/>
      </c>
      <c r="T46" s="20">
        <f>SUM(T38:T45)</f>
        <v/>
      </c>
      <c r="U46" s="20">
        <f>SUM(U38:U45)</f>
        <v/>
      </c>
      <c r="V46" s="21">
        <f>SUM(V38:V45)</f>
        <v/>
      </c>
      <c r="W46" s="21">
        <f>SUM(W38:W45)</f>
        <v/>
      </c>
      <c r="X46" s="19">
        <f>SUM(X38:X45)</f>
        <v/>
      </c>
      <c r="Y46" s="20">
        <f>SUM(Y38:Y45)</f>
        <v/>
      </c>
      <c r="Z46" s="20">
        <f>SUM(Z38:Z45)</f>
        <v/>
      </c>
      <c r="AA46" s="21">
        <f>SUM(AA38:AA45)</f>
        <v/>
      </c>
      <c r="AB46" s="21">
        <f>SUM(AB38:AB45)</f>
        <v/>
      </c>
      <c r="AC46" s="20">
        <f>SUM(AC38:AC45)</f>
        <v/>
      </c>
      <c r="AD46" s="20">
        <f>SUM(AD38:AD45)</f>
        <v/>
      </c>
      <c r="AE46" s="21">
        <f>SUM(AE38:AE45)</f>
        <v/>
      </c>
    </row>
    <row r="47" ht="5" customHeight="1"/>
    <row r="48">
      <c r="A48" s="22" t="inlineStr">
        <is>
          <t>Each</t>
        </is>
      </c>
      <c r="B48" s="23" t="inlineStr">
        <is>
          <t>10" SILL SEAL</t>
        </is>
      </c>
      <c r="C48" s="22" t="inlineStr"/>
      <c r="D48" s="22" t="inlineStr"/>
      <c r="E48" s="22" t="inlineStr"/>
      <c r="F48" s="24" t="n">
        <v>7</v>
      </c>
      <c r="G48" s="24" t="n">
        <v>0</v>
      </c>
      <c r="H48" s="24">
        <f>F48+G48</f>
        <v/>
      </c>
      <c r="I48" s="25" t="n">
        <v>7.25</v>
      </c>
      <c r="J48" s="25" t="n">
        <v>0</v>
      </c>
      <c r="K48" s="25" t="n">
        <v>0</v>
      </c>
      <c r="L48" s="26">
        <f>H48*I48</f>
        <v/>
      </c>
      <c r="M48" s="26">
        <f>L48*1.06</f>
        <v/>
      </c>
      <c r="N48" s="24" t="n">
        <v>0</v>
      </c>
      <c r="O48" s="24" t="n">
        <v>0</v>
      </c>
      <c r="P48" s="24" t="n">
        <v>0</v>
      </c>
      <c r="Q48" s="24" t="n">
        <v>0</v>
      </c>
      <c r="R48" s="22" t="inlineStr"/>
      <c r="S48" s="24">
        <f>SUM(N48:Q48)</f>
        <v/>
      </c>
      <c r="T48" s="25" t="n">
        <v>0</v>
      </c>
      <c r="U48" s="25" t="n">
        <v>0</v>
      </c>
      <c r="V48" s="26">
        <f>S48*I48</f>
        <v/>
      </c>
      <c r="W48" s="26">
        <f>V48*1.06</f>
        <v/>
      </c>
      <c r="X48" s="24">
        <f>H48-S48</f>
        <v/>
      </c>
      <c r="Y48" s="25" t="n">
        <v>0</v>
      </c>
      <c r="Z48" s="25" t="n">
        <v>0</v>
      </c>
      <c r="AA48" s="26">
        <f>X48*I48</f>
        <v/>
      </c>
      <c r="AB48" s="26">
        <f>AA48*1.06</f>
        <v/>
      </c>
      <c r="AC48" s="25" t="n">
        <v>0</v>
      </c>
      <c r="AD48" s="25" t="n">
        <v>0</v>
      </c>
      <c r="AE48" s="26" t="n">
        <v>0</v>
      </c>
    </row>
    <row r="49">
      <c r="A49" s="22" t="inlineStr">
        <is>
          <t>Each</t>
        </is>
      </c>
      <c r="B49" s="23" t="inlineStr">
        <is>
          <t>4" SILL SEAL</t>
        </is>
      </c>
      <c r="C49" s="22" t="inlineStr"/>
      <c r="D49" s="22" t="inlineStr"/>
      <c r="E49" s="22" t="inlineStr"/>
      <c r="F49" s="24" t="n">
        <v>209</v>
      </c>
      <c r="G49" s="24" t="n">
        <v>0</v>
      </c>
      <c r="H49" s="24">
        <f>F49+G49</f>
        <v/>
      </c>
      <c r="I49" s="25" t="n">
        <v>7.25</v>
      </c>
      <c r="J49" s="25" t="n">
        <v>0</v>
      </c>
      <c r="K49" s="25" t="n">
        <v>0</v>
      </c>
      <c r="L49" s="26">
        <f>H49*I49</f>
        <v/>
      </c>
      <c r="M49" s="26">
        <f>L49*1.06</f>
        <v/>
      </c>
      <c r="N49" s="24" t="n">
        <v>0</v>
      </c>
      <c r="O49" s="24" t="n">
        <v>0</v>
      </c>
      <c r="P49" s="24" t="n">
        <v>0</v>
      </c>
      <c r="Q49" s="24" t="n">
        <v>0</v>
      </c>
      <c r="R49" s="22" t="inlineStr"/>
      <c r="S49" s="24">
        <f>SUM(N49:Q49)</f>
        <v/>
      </c>
      <c r="T49" s="25" t="n">
        <v>0</v>
      </c>
      <c r="U49" s="25" t="n">
        <v>0</v>
      </c>
      <c r="V49" s="26">
        <f>S49*I49</f>
        <v/>
      </c>
      <c r="W49" s="26">
        <f>V49*1.06</f>
        <v/>
      </c>
      <c r="X49" s="24">
        <f>H49-S49</f>
        <v/>
      </c>
      <c r="Y49" s="25" t="n">
        <v>0</v>
      </c>
      <c r="Z49" s="25" t="n">
        <v>0</v>
      </c>
      <c r="AA49" s="26">
        <f>X49*I49</f>
        <v/>
      </c>
      <c r="AB49" s="26">
        <f>AA49*1.06</f>
        <v/>
      </c>
      <c r="AC49" s="25" t="n">
        <v>0</v>
      </c>
      <c r="AD49" s="25" t="n">
        <v>0</v>
      </c>
      <c r="AE49" s="26" t="n">
        <v>0</v>
      </c>
    </row>
    <row r="50">
      <c r="A50" s="22" t="inlineStr">
        <is>
          <t>Each</t>
        </is>
      </c>
      <c r="B50" s="23" t="inlineStr">
        <is>
          <t>6" SILL SEAL</t>
        </is>
      </c>
      <c r="C50" s="22" t="inlineStr"/>
      <c r="D50" s="22" t="inlineStr"/>
      <c r="E50" s="22" t="inlineStr"/>
      <c r="F50" s="24" t="n">
        <v>446</v>
      </c>
      <c r="G50" s="24" t="n">
        <v>0</v>
      </c>
      <c r="H50" s="24">
        <f>F50+G50</f>
        <v/>
      </c>
      <c r="I50" s="25" t="n">
        <v>7.25</v>
      </c>
      <c r="J50" s="25" t="n">
        <v>0</v>
      </c>
      <c r="K50" s="25" t="n">
        <v>0</v>
      </c>
      <c r="L50" s="26">
        <f>H50*I50</f>
        <v/>
      </c>
      <c r="M50" s="26">
        <f>L50*1.06</f>
        <v/>
      </c>
      <c r="N50" s="24" t="n">
        <v>0</v>
      </c>
      <c r="O50" s="24" t="n">
        <v>0</v>
      </c>
      <c r="P50" s="24" t="n">
        <v>0</v>
      </c>
      <c r="Q50" s="24" t="n">
        <v>0</v>
      </c>
      <c r="R50" s="22" t="inlineStr"/>
      <c r="S50" s="24">
        <f>SUM(N50:Q50)</f>
        <v/>
      </c>
      <c r="T50" s="25" t="n">
        <v>0</v>
      </c>
      <c r="U50" s="25" t="n">
        <v>0</v>
      </c>
      <c r="V50" s="26">
        <f>S50*I50</f>
        <v/>
      </c>
      <c r="W50" s="26">
        <f>V50*1.06</f>
        <v/>
      </c>
      <c r="X50" s="24">
        <f>H50-S50</f>
        <v/>
      </c>
      <c r="Y50" s="25" t="n">
        <v>0</v>
      </c>
      <c r="Z50" s="25" t="n">
        <v>0</v>
      </c>
      <c r="AA50" s="26">
        <f>X50*I50</f>
        <v/>
      </c>
      <c r="AB50" s="26">
        <f>AA50*1.06</f>
        <v/>
      </c>
      <c r="AC50" s="25" t="n">
        <v>0</v>
      </c>
      <c r="AD50" s="25" t="n">
        <v>0</v>
      </c>
      <c r="AE50" s="26" t="n">
        <v>0</v>
      </c>
    </row>
    <row r="51">
      <c r="A51" s="22" t="inlineStr">
        <is>
          <t>Each</t>
        </is>
      </c>
      <c r="B51" s="23" t="inlineStr">
        <is>
          <t>SUBFLOOR ADHESIVE</t>
        </is>
      </c>
      <c r="C51" s="22" t="inlineStr"/>
      <c r="D51" s="22" t="inlineStr"/>
      <c r="E51" s="22" t="inlineStr"/>
      <c r="F51" s="24" t="n">
        <v>2829</v>
      </c>
      <c r="G51" s="24" t="n">
        <v>1296</v>
      </c>
      <c r="H51" s="24">
        <f>F51+G51</f>
        <v/>
      </c>
      <c r="I51" s="25" t="n">
        <v>5.5</v>
      </c>
      <c r="J51" s="25" t="n">
        <v>0</v>
      </c>
      <c r="K51" s="25" t="n">
        <v>0</v>
      </c>
      <c r="L51" s="26">
        <f>H51*I51</f>
        <v/>
      </c>
      <c r="M51" s="26">
        <f>L51*1.06</f>
        <v/>
      </c>
      <c r="N51" s="24" t="n">
        <v>0</v>
      </c>
      <c r="O51" s="24" t="n">
        <v>0</v>
      </c>
      <c r="P51" s="24" t="n">
        <v>0</v>
      </c>
      <c r="Q51" s="24" t="n">
        <v>0</v>
      </c>
      <c r="R51" s="22" t="inlineStr"/>
      <c r="S51" s="24">
        <f>SUM(N51:Q51)</f>
        <v/>
      </c>
      <c r="T51" s="25" t="n">
        <v>0</v>
      </c>
      <c r="U51" s="25" t="n">
        <v>0</v>
      </c>
      <c r="V51" s="26">
        <f>S51*I51</f>
        <v/>
      </c>
      <c r="W51" s="26">
        <f>V51*1.06</f>
        <v/>
      </c>
      <c r="X51" s="24">
        <f>H51-S51</f>
        <v/>
      </c>
      <c r="Y51" s="25" t="n">
        <v>0</v>
      </c>
      <c r="Z51" s="25" t="n">
        <v>0</v>
      </c>
      <c r="AA51" s="26">
        <f>X51*I51</f>
        <v/>
      </c>
      <c r="AB51" s="26">
        <f>AA51*1.06</f>
        <v/>
      </c>
      <c r="AC51" s="25" t="n">
        <v>0</v>
      </c>
      <c r="AD51" s="25" t="n">
        <v>0</v>
      </c>
      <c r="AE51" s="26" t="n">
        <v>0</v>
      </c>
    </row>
    <row r="52">
      <c r="A52" s="22" t="inlineStr">
        <is>
          <t>Each</t>
        </is>
      </c>
      <c r="B52" s="23" t="inlineStr">
        <is>
          <t>6"X50' BT20-XL (CO#007)</t>
        </is>
      </c>
      <c r="C52" s="22" t="inlineStr"/>
      <c r="D52" s="22" t="inlineStr"/>
      <c r="E52" s="22" t="inlineStr"/>
      <c r="F52" s="24" t="n">
        <v>0</v>
      </c>
      <c r="G52" s="24" t="n">
        <v>39</v>
      </c>
      <c r="H52" s="24">
        <f>F52+G52</f>
        <v/>
      </c>
      <c r="I52" s="25" t="n">
        <v>30</v>
      </c>
      <c r="J52" s="25" t="n">
        <v>0</v>
      </c>
      <c r="K52" s="25" t="n">
        <v>0</v>
      </c>
      <c r="L52" s="26">
        <f>H52*I52</f>
        <v/>
      </c>
      <c r="M52" s="26">
        <f>L52*1.06</f>
        <v/>
      </c>
      <c r="N52" s="24" t="n">
        <v>0</v>
      </c>
      <c r="O52" s="24" t="n">
        <v>0</v>
      </c>
      <c r="P52" s="24" t="n">
        <v>0</v>
      </c>
      <c r="Q52" s="24" t="n">
        <v>0</v>
      </c>
      <c r="R52" s="22" t="inlineStr"/>
      <c r="S52" s="24">
        <f>SUM(N52:Q52)</f>
        <v/>
      </c>
      <c r="T52" s="25" t="n">
        <v>0</v>
      </c>
      <c r="U52" s="25" t="n">
        <v>0</v>
      </c>
      <c r="V52" s="26">
        <f>S52*I52</f>
        <v/>
      </c>
      <c r="W52" s="26">
        <f>V52*1.06</f>
        <v/>
      </c>
      <c r="X52" s="24">
        <f>H52-S52</f>
        <v/>
      </c>
      <c r="Y52" s="25" t="n">
        <v>0</v>
      </c>
      <c r="Z52" s="25" t="n">
        <v>0</v>
      </c>
      <c r="AA52" s="26">
        <f>X52*I52</f>
        <v/>
      </c>
      <c r="AB52" s="26">
        <f>AA52*1.06</f>
        <v/>
      </c>
      <c r="AC52" s="25" t="n">
        <v>0</v>
      </c>
      <c r="AD52" s="25" t="n">
        <v>0</v>
      </c>
      <c r="AE52" s="26" t="n">
        <v>0</v>
      </c>
    </row>
    <row r="53">
      <c r="A53" s="22" t="inlineStr">
        <is>
          <t>Each</t>
        </is>
      </c>
      <c r="B53" s="23" t="inlineStr">
        <is>
          <t>5-1/2" DUAL GUARD THRESHOLD TA (CO#007)</t>
        </is>
      </c>
      <c r="C53" s="22" t="inlineStr"/>
      <c r="D53" s="22" t="inlineStr"/>
      <c r="E53" s="22" t="inlineStr"/>
      <c r="F53" s="24" t="n">
        <v>0</v>
      </c>
      <c r="G53" s="24" t="n">
        <v>35</v>
      </c>
      <c r="H53" s="24">
        <f>F53+G53</f>
        <v/>
      </c>
      <c r="I53" s="25" t="n">
        <v>63.25</v>
      </c>
      <c r="J53" s="25" t="n">
        <v>0</v>
      </c>
      <c r="K53" s="25" t="n">
        <v>0</v>
      </c>
      <c r="L53" s="26">
        <f>H53*I53</f>
        <v/>
      </c>
      <c r="M53" s="26">
        <f>L53*1.06</f>
        <v/>
      </c>
      <c r="N53" s="24" t="n">
        <v>0</v>
      </c>
      <c r="O53" s="24" t="n">
        <v>0</v>
      </c>
      <c r="P53" s="24" t="n">
        <v>0</v>
      </c>
      <c r="Q53" s="24" t="n">
        <v>0</v>
      </c>
      <c r="R53" s="22" t="inlineStr"/>
      <c r="S53" s="24">
        <f>SUM(N53:Q53)</f>
        <v/>
      </c>
      <c r="T53" s="25" t="n">
        <v>0</v>
      </c>
      <c r="U53" s="25" t="n">
        <v>0</v>
      </c>
      <c r="V53" s="26">
        <f>S53*I53</f>
        <v/>
      </c>
      <c r="W53" s="26">
        <f>V53*1.06</f>
        <v/>
      </c>
      <c r="X53" s="24">
        <f>H53-S53</f>
        <v/>
      </c>
      <c r="Y53" s="25" t="n">
        <v>0</v>
      </c>
      <c r="Z53" s="25" t="n">
        <v>0</v>
      </c>
      <c r="AA53" s="26">
        <f>X53*I53</f>
        <v/>
      </c>
      <c r="AB53" s="26">
        <f>AA53*1.06</f>
        <v/>
      </c>
      <c r="AC53" s="25" t="n">
        <v>0</v>
      </c>
      <c r="AD53" s="25" t="n">
        <v>0</v>
      </c>
      <c r="AE53" s="26" t="n">
        <v>0</v>
      </c>
    </row>
    <row r="54">
      <c r="A54" s="22" t="inlineStr">
        <is>
          <t>Each</t>
        </is>
      </c>
      <c r="B54" s="23" t="inlineStr">
        <is>
          <t>SIMPSON HUC410 (CO#02)</t>
        </is>
      </c>
      <c r="C54" s="22" t="inlineStr"/>
      <c r="D54" s="22" t="inlineStr"/>
      <c r="E54" s="22" t="inlineStr"/>
      <c r="F54" s="24" t="n">
        <v>0</v>
      </c>
      <c r="G54" s="24" t="n">
        <v>4</v>
      </c>
      <c r="H54" s="24">
        <f>F54+G54</f>
        <v/>
      </c>
      <c r="I54" s="25" t="n">
        <v>16.25</v>
      </c>
      <c r="J54" s="25" t="n">
        <v>0</v>
      </c>
      <c r="K54" s="25" t="n">
        <v>0</v>
      </c>
      <c r="L54" s="26">
        <f>H54*I54</f>
        <v/>
      </c>
      <c r="M54" s="26">
        <f>L54*1.06</f>
        <v/>
      </c>
      <c r="N54" s="24" t="n">
        <v>0</v>
      </c>
      <c r="O54" s="24" t="n">
        <v>0</v>
      </c>
      <c r="P54" s="24" t="n">
        <v>0</v>
      </c>
      <c r="Q54" s="24" t="n">
        <v>4</v>
      </c>
      <c r="R54" s="22" t="inlineStr">
        <is>
          <t>68981008</t>
        </is>
      </c>
      <c r="S54" s="24">
        <f>SUM(N54:Q54)</f>
        <v/>
      </c>
      <c r="T54" s="25" t="n">
        <v>0</v>
      </c>
      <c r="U54" s="25" t="n">
        <v>0</v>
      </c>
      <c r="V54" s="26">
        <f>S54*I54</f>
        <v/>
      </c>
      <c r="W54" s="26">
        <f>V54*1.06</f>
        <v/>
      </c>
      <c r="X54" s="24">
        <f>H54-S54</f>
        <v/>
      </c>
      <c r="Y54" s="25" t="n">
        <v>0</v>
      </c>
      <c r="Z54" s="25" t="n">
        <v>0</v>
      </c>
      <c r="AA54" s="26">
        <f>X54*I54</f>
        <v/>
      </c>
      <c r="AB54" s="26">
        <f>AA54*1.06</f>
        <v/>
      </c>
      <c r="AC54" s="25" t="n">
        <v>0</v>
      </c>
      <c r="AD54" s="25" t="n">
        <v>0</v>
      </c>
      <c r="AE54" s="26" t="n">
        <v>0</v>
      </c>
    </row>
    <row r="55">
      <c r="A55" s="22" t="inlineStr">
        <is>
          <t>Each</t>
        </is>
      </c>
      <c r="B55" s="23" t="inlineStr">
        <is>
          <t>SIMPSON HUC210 (CO#02)</t>
        </is>
      </c>
      <c r="C55" s="22" t="inlineStr"/>
      <c r="D55" s="22" t="inlineStr"/>
      <c r="E55" s="22" t="inlineStr"/>
      <c r="F55" s="24" t="n">
        <v>0</v>
      </c>
      <c r="G55" s="24" t="n">
        <v>10</v>
      </c>
      <c r="H55" s="24">
        <f>F55+G55</f>
        <v/>
      </c>
      <c r="I55" s="25" t="n">
        <v>18.15</v>
      </c>
      <c r="J55" s="25" t="n">
        <v>0</v>
      </c>
      <c r="K55" s="25" t="n">
        <v>0</v>
      </c>
      <c r="L55" s="26">
        <f>H55*I55</f>
        <v/>
      </c>
      <c r="M55" s="26">
        <f>L55*1.06</f>
        <v/>
      </c>
      <c r="N55" s="24" t="n">
        <v>0</v>
      </c>
      <c r="O55" s="24" t="n">
        <v>0</v>
      </c>
      <c r="P55" s="24" t="n">
        <v>0</v>
      </c>
      <c r="Q55" s="24" t="n">
        <v>10</v>
      </c>
      <c r="R55" s="22" t="inlineStr">
        <is>
          <t>68981008</t>
        </is>
      </c>
      <c r="S55" s="24">
        <f>SUM(N55:Q55)</f>
        <v/>
      </c>
      <c r="T55" s="25" t="n">
        <v>0</v>
      </c>
      <c r="U55" s="25" t="n">
        <v>0</v>
      </c>
      <c r="V55" s="26">
        <f>S55*I55</f>
        <v/>
      </c>
      <c r="W55" s="26">
        <f>V55*1.06</f>
        <v/>
      </c>
      <c r="X55" s="24">
        <f>H55-S55</f>
        <v/>
      </c>
      <c r="Y55" s="25" t="n">
        <v>0</v>
      </c>
      <c r="Z55" s="25" t="n">
        <v>0</v>
      </c>
      <c r="AA55" s="26">
        <f>X55*I55</f>
        <v/>
      </c>
      <c r="AB55" s="26">
        <f>AA55*1.06</f>
        <v/>
      </c>
      <c r="AC55" s="25" t="n">
        <v>0</v>
      </c>
      <c r="AD55" s="25" t="n">
        <v>0</v>
      </c>
      <c r="AE55" s="26" t="n">
        <v>0</v>
      </c>
    </row>
    <row r="56">
      <c r="A56" s="22" t="inlineStr">
        <is>
          <t>Each</t>
        </is>
      </c>
      <c r="B56" s="23" t="inlineStr">
        <is>
          <t>TREX HIDDEN FASTENERS (CO#02)</t>
        </is>
      </c>
      <c r="C56" s="22" t="inlineStr"/>
      <c r="D56" s="22" t="inlineStr"/>
      <c r="E56" s="22" t="inlineStr"/>
      <c r="F56" s="24" t="n">
        <v>0</v>
      </c>
      <c r="G56" s="24" t="n">
        <v>3</v>
      </c>
      <c r="H56" s="24">
        <f>F56+G56</f>
        <v/>
      </c>
      <c r="I56" s="25" t="n">
        <v>49.85</v>
      </c>
      <c r="J56" s="25" t="n">
        <v>0</v>
      </c>
      <c r="K56" s="25" t="n">
        <v>0</v>
      </c>
      <c r="L56" s="26">
        <f>H56*I56</f>
        <v/>
      </c>
      <c r="M56" s="26">
        <f>L56*1.06</f>
        <v/>
      </c>
      <c r="N56" s="24" t="n">
        <v>0</v>
      </c>
      <c r="O56" s="24" t="n">
        <v>0</v>
      </c>
      <c r="P56" s="24" t="n">
        <v>0</v>
      </c>
      <c r="Q56" s="24" t="n">
        <v>3</v>
      </c>
      <c r="R56" s="22" t="inlineStr">
        <is>
          <t>68981008</t>
        </is>
      </c>
      <c r="S56" s="24">
        <f>SUM(N56:Q56)</f>
        <v/>
      </c>
      <c r="T56" s="25" t="n">
        <v>0</v>
      </c>
      <c r="U56" s="25" t="n">
        <v>0</v>
      </c>
      <c r="V56" s="26">
        <f>S56*I56</f>
        <v/>
      </c>
      <c r="W56" s="26">
        <f>V56*1.06</f>
        <v/>
      </c>
      <c r="X56" s="24">
        <f>H56-S56</f>
        <v/>
      </c>
      <c r="Y56" s="25" t="n">
        <v>0</v>
      </c>
      <c r="Z56" s="25" t="n">
        <v>0</v>
      </c>
      <c r="AA56" s="26">
        <f>X56*I56</f>
        <v/>
      </c>
      <c r="AB56" s="26">
        <f>AA56*1.06</f>
        <v/>
      </c>
      <c r="AC56" s="25" t="n">
        <v>0</v>
      </c>
      <c r="AD56" s="25" t="n">
        <v>0</v>
      </c>
      <c r="AE56" s="26" t="n">
        <v>0</v>
      </c>
    </row>
    <row r="57">
      <c r="A57" s="22" t="inlineStr">
        <is>
          <t>Each</t>
        </is>
      </c>
      <c r="B57" s="23" t="inlineStr">
        <is>
          <t>TREX CLAM SHELL SQUARE EDGE 1X6X16 (CO#02)</t>
        </is>
      </c>
      <c r="C57" s="22" t="n">
        <v>1</v>
      </c>
      <c r="D57" s="22" t="n">
        <v>6</v>
      </c>
      <c r="E57" s="22" t="n">
        <v>16</v>
      </c>
      <c r="F57" s="24" t="n">
        <v>0</v>
      </c>
      <c r="G57" s="24" t="n">
        <v>18</v>
      </c>
      <c r="H57" s="24">
        <f>F57+G57</f>
        <v/>
      </c>
      <c r="I57" s="25" t="n">
        <v>47.2</v>
      </c>
      <c r="J57" s="25" t="n">
        <v>0</v>
      </c>
      <c r="K57" s="25" t="n">
        <v>0</v>
      </c>
      <c r="L57" s="26">
        <f>H57*I57</f>
        <v/>
      </c>
      <c r="M57" s="26">
        <f>L57*1.06</f>
        <v/>
      </c>
      <c r="N57" s="24" t="n">
        <v>0</v>
      </c>
      <c r="O57" s="24" t="n">
        <v>0</v>
      </c>
      <c r="P57" s="24" t="n">
        <v>0</v>
      </c>
      <c r="Q57" s="24" t="n">
        <v>18</v>
      </c>
      <c r="R57" s="22" t="inlineStr">
        <is>
          <t>68981008</t>
        </is>
      </c>
      <c r="S57" s="24">
        <f>SUM(N57:Q57)</f>
        <v/>
      </c>
      <c r="T57" s="25" t="n">
        <v>0</v>
      </c>
      <c r="U57" s="25" t="n">
        <v>0</v>
      </c>
      <c r="V57" s="26">
        <f>S57*I57</f>
        <v/>
      </c>
      <c r="W57" s="26">
        <f>V57*1.06</f>
        <v/>
      </c>
      <c r="X57" s="24">
        <f>H57-S57</f>
        <v/>
      </c>
      <c r="Y57" s="25" t="n">
        <v>0</v>
      </c>
      <c r="Z57" s="25" t="n">
        <v>0</v>
      </c>
      <c r="AA57" s="26">
        <f>X57*I57</f>
        <v/>
      </c>
      <c r="AB57" s="26">
        <f>AA57*1.06</f>
        <v/>
      </c>
      <c r="AC57" s="25" t="n">
        <v>0</v>
      </c>
      <c r="AD57" s="25" t="n">
        <v>0</v>
      </c>
      <c r="AE57" s="26" t="n">
        <v>0</v>
      </c>
    </row>
    <row r="58" ht="18" customHeight="1">
      <c r="A58" s="27" t="inlineStr">
        <is>
          <t>EACH SUBTOTAL</t>
        </is>
      </c>
      <c r="B58" s="28" t="inlineStr"/>
      <c r="C58" s="28" t="inlineStr"/>
      <c r="D58" s="28" t="inlineStr"/>
      <c r="E58" s="28" t="inlineStr"/>
      <c r="F58" s="29">
        <f>SUM(F48:F57)</f>
        <v/>
      </c>
      <c r="G58" s="29">
        <f>SUM(G48:G57)</f>
        <v/>
      </c>
      <c r="H58" s="29">
        <f>SUM(H48:H57)</f>
        <v/>
      </c>
      <c r="I58" s="28" t="inlineStr"/>
      <c r="J58" s="30">
        <f>SUM(J48:J57)</f>
        <v/>
      </c>
      <c r="K58" s="30">
        <f>SUM(K48:K57)</f>
        <v/>
      </c>
      <c r="L58" s="31">
        <f>SUM(L48:L57)</f>
        <v/>
      </c>
      <c r="M58" s="31">
        <f>SUM(M48:M57)</f>
        <v/>
      </c>
      <c r="N58" s="28">
        <f>SUM(N48:N57)</f>
        <v/>
      </c>
      <c r="O58" s="28">
        <f>SUM(O48:O57)</f>
        <v/>
      </c>
      <c r="P58" s="28">
        <f>SUM(P48:P57)</f>
        <v/>
      </c>
      <c r="Q58" s="28">
        <f>SUM(Q48:Q57)</f>
        <v/>
      </c>
      <c r="R58" s="28" t="inlineStr"/>
      <c r="S58" s="29">
        <f>SUM(S48:S57)</f>
        <v/>
      </c>
      <c r="T58" s="30">
        <f>SUM(T48:T57)</f>
        <v/>
      </c>
      <c r="U58" s="30">
        <f>SUM(U48:U57)</f>
        <v/>
      </c>
      <c r="V58" s="31">
        <f>SUM(V48:V57)</f>
        <v/>
      </c>
      <c r="W58" s="31">
        <f>SUM(W48:W57)</f>
        <v/>
      </c>
      <c r="X58" s="29">
        <f>SUM(X48:X57)</f>
        <v/>
      </c>
      <c r="Y58" s="30">
        <f>SUM(Y48:Y57)</f>
        <v/>
      </c>
      <c r="Z58" s="30">
        <f>SUM(Z48:Z57)</f>
        <v/>
      </c>
      <c r="AA58" s="31">
        <f>SUM(AA48:AA57)</f>
        <v/>
      </c>
      <c r="AB58" s="31">
        <f>SUM(AB48:AB57)</f>
        <v/>
      </c>
      <c r="AC58" s="30">
        <f>SUM(AC48:AC57)</f>
        <v/>
      </c>
      <c r="AD58" s="30">
        <f>SUM(AD48:AD57)</f>
        <v/>
      </c>
      <c r="AE58" s="31">
        <f>SUM(AE48:AE57)</f>
        <v/>
      </c>
    </row>
    <row r="59" ht="5" customHeight="1"/>
    <row r="60">
      <c r="A60" s="32" t="inlineStr">
        <is>
          <t>Panels</t>
        </is>
      </c>
      <c r="B60" s="33" t="inlineStr">
        <is>
          <t>23/32" OSB SE</t>
        </is>
      </c>
      <c r="C60" s="32" t="n">
        <v>4</v>
      </c>
      <c r="D60" s="32" t="n">
        <v>8</v>
      </c>
      <c r="E60" s="32" t="inlineStr"/>
      <c r="F60" s="34" t="n">
        <v>859</v>
      </c>
      <c r="G60" s="34" t="n">
        <v>0</v>
      </c>
      <c r="H60" s="34">
        <f>F60+G60</f>
        <v/>
      </c>
      <c r="I60" s="35" t="n">
        <v>695</v>
      </c>
      <c r="J60" s="35" t="n">
        <v>0</v>
      </c>
      <c r="K60" s="35">
        <f>H60*4.0*8.0</f>
        <v/>
      </c>
      <c r="L60" s="36">
        <f>(K60*I60)/1000</f>
        <v/>
      </c>
      <c r="M60" s="36">
        <f>L60*1.06</f>
        <v/>
      </c>
      <c r="N60" s="34" t="n">
        <v>0</v>
      </c>
      <c r="O60" s="34" t="n">
        <v>0</v>
      </c>
      <c r="P60" s="34" t="n">
        <v>0</v>
      </c>
      <c r="Q60" s="34" t="n">
        <v>0</v>
      </c>
      <c r="R60" s="32" t="inlineStr"/>
      <c r="S60" s="34">
        <f>SUM(N60:Q60)</f>
        <v/>
      </c>
      <c r="T60" s="35" t="n">
        <v>0</v>
      </c>
      <c r="U60" s="35">
        <f>S60*4.0*8.0</f>
        <v/>
      </c>
      <c r="V60" s="36">
        <f>(U60*I60)/1000</f>
        <v/>
      </c>
      <c r="W60" s="36">
        <f>V60*1.06</f>
        <v/>
      </c>
      <c r="X60" s="34">
        <f>H60-S60</f>
        <v/>
      </c>
      <c r="Y60" s="35" t="n">
        <v>0</v>
      </c>
      <c r="Z60" s="35">
        <f>X60*4.0*8.0</f>
        <v/>
      </c>
      <c r="AA60" s="36">
        <f>(Z60*I60)/1000</f>
        <v/>
      </c>
      <c r="AB60" s="36">
        <f>AA60*1.06</f>
        <v/>
      </c>
      <c r="AC60" s="35" t="n">
        <v>0</v>
      </c>
      <c r="AD60" s="35" t="n">
        <v>0</v>
      </c>
      <c r="AE60" s="36" t="n">
        <v>0</v>
      </c>
    </row>
    <row r="61">
      <c r="A61" s="32" t="inlineStr">
        <is>
          <t>Panels</t>
        </is>
      </c>
      <c r="B61" s="33" t="inlineStr">
        <is>
          <t>23/32" OSB T&amp;G</t>
        </is>
      </c>
      <c r="C61" s="32" t="n">
        <v>4</v>
      </c>
      <c r="D61" s="32" t="n">
        <v>8</v>
      </c>
      <c r="E61" s="32" t="inlineStr"/>
      <c r="F61" s="34" t="n">
        <v>5657</v>
      </c>
      <c r="G61" s="34" t="n">
        <v>0</v>
      </c>
      <c r="H61" s="34">
        <f>F61+G61</f>
        <v/>
      </c>
      <c r="I61" s="35" t="n">
        <v>695</v>
      </c>
      <c r="J61" s="35" t="n">
        <v>0</v>
      </c>
      <c r="K61" s="35">
        <f>H61*4.0*8.0</f>
        <v/>
      </c>
      <c r="L61" s="36">
        <f>(K61*I61)/1000</f>
        <v/>
      </c>
      <c r="M61" s="36">
        <f>L61*1.06</f>
        <v/>
      </c>
      <c r="N61" s="34" t="n">
        <v>0</v>
      </c>
      <c r="O61" s="34" t="n">
        <v>0</v>
      </c>
      <c r="P61" s="34" t="n">
        <v>0</v>
      </c>
      <c r="Q61" s="34" t="n">
        <v>0</v>
      </c>
      <c r="R61" s="32" t="inlineStr"/>
      <c r="S61" s="34">
        <f>SUM(N61:Q61)</f>
        <v/>
      </c>
      <c r="T61" s="35" t="n">
        <v>0</v>
      </c>
      <c r="U61" s="35">
        <f>S61*4.0*8.0</f>
        <v/>
      </c>
      <c r="V61" s="36">
        <f>(U61*I61)/1000</f>
        <v/>
      </c>
      <c r="W61" s="36">
        <f>V61*1.06</f>
        <v/>
      </c>
      <c r="X61" s="34">
        <f>H61-S61</f>
        <v/>
      </c>
      <c r="Y61" s="35" t="n">
        <v>0</v>
      </c>
      <c r="Z61" s="35">
        <f>X61*4.0*8.0</f>
        <v/>
      </c>
      <c r="AA61" s="36">
        <f>(Z61*I61)/1000</f>
        <v/>
      </c>
      <c r="AB61" s="36">
        <f>AA61*1.06</f>
        <v/>
      </c>
      <c r="AC61" s="35" t="n">
        <v>0</v>
      </c>
      <c r="AD61" s="35" t="n">
        <v>0</v>
      </c>
      <c r="AE61" s="36" t="n">
        <v>0</v>
      </c>
    </row>
    <row r="62">
      <c r="A62" s="32" t="inlineStr">
        <is>
          <t>Panels</t>
        </is>
      </c>
      <c r="B62" s="33" t="inlineStr">
        <is>
          <t>19/32" OSB/PLY</t>
        </is>
      </c>
      <c r="C62" s="32" t="n">
        <v>4</v>
      </c>
      <c r="D62" s="32" t="n">
        <v>8</v>
      </c>
      <c r="E62" s="32" t="inlineStr"/>
      <c r="F62" s="34" t="n">
        <v>3713</v>
      </c>
      <c r="G62" s="34" t="n">
        <v>0</v>
      </c>
      <c r="H62" s="34">
        <f>F62+G62</f>
        <v/>
      </c>
      <c r="I62" s="35" t="n">
        <v>635</v>
      </c>
      <c r="J62" s="35" t="n">
        <v>0</v>
      </c>
      <c r="K62" s="35">
        <f>H62*4.0*8.0</f>
        <v/>
      </c>
      <c r="L62" s="36">
        <f>(K62*I62)/1000</f>
        <v/>
      </c>
      <c r="M62" s="36">
        <f>L62*1.06</f>
        <v/>
      </c>
      <c r="N62" s="34" t="n">
        <v>680</v>
      </c>
      <c r="O62" s="34" t="n">
        <v>720</v>
      </c>
      <c r="P62" s="34" t="n">
        <v>724</v>
      </c>
      <c r="Q62" s="34" t="n">
        <v>0</v>
      </c>
      <c r="R62" s="32" t="inlineStr">
        <is>
          <t>68981001
68981002
68981003</t>
        </is>
      </c>
      <c r="S62" s="34">
        <f>SUM(N62:Q62)</f>
        <v/>
      </c>
      <c r="T62" s="35" t="n">
        <v>0</v>
      </c>
      <c r="U62" s="35">
        <f>S62*4.0*8.0</f>
        <v/>
      </c>
      <c r="V62" s="36">
        <f>(U62*I62)/1000</f>
        <v/>
      </c>
      <c r="W62" s="36">
        <f>V62*1.06</f>
        <v/>
      </c>
      <c r="X62" s="34">
        <f>H62-S62</f>
        <v/>
      </c>
      <c r="Y62" s="35" t="n">
        <v>0</v>
      </c>
      <c r="Z62" s="35">
        <f>X62*4.0*8.0</f>
        <v/>
      </c>
      <c r="AA62" s="36">
        <f>(Z62*I62)/1000</f>
        <v/>
      </c>
      <c r="AB62" s="36">
        <f>AA62*1.06</f>
        <v/>
      </c>
      <c r="AC62" s="35" t="n">
        <v>100</v>
      </c>
      <c r="AD62" s="35" t="n">
        <v>0</v>
      </c>
      <c r="AE62" s="36" t="n">
        <v>0</v>
      </c>
    </row>
    <row r="63">
      <c r="A63" s="32" t="inlineStr">
        <is>
          <t>Panels</t>
        </is>
      </c>
      <c r="B63" s="33" t="inlineStr">
        <is>
          <t>7/16" OSB/PLY</t>
        </is>
      </c>
      <c r="C63" s="32" t="n">
        <v>4</v>
      </c>
      <c r="D63" s="32" t="n">
        <v>8</v>
      </c>
      <c r="E63" s="32" t="inlineStr"/>
      <c r="F63" s="34" t="n">
        <v>232</v>
      </c>
      <c r="G63" s="34" t="n">
        <v>0</v>
      </c>
      <c r="H63" s="34">
        <f>F63+G63</f>
        <v/>
      </c>
      <c r="I63" s="35" t="n">
        <v>465</v>
      </c>
      <c r="J63" s="35" t="n">
        <v>0</v>
      </c>
      <c r="K63" s="35">
        <f>H63*4.0*8.0</f>
        <v/>
      </c>
      <c r="L63" s="36">
        <f>(K63*I63)/1000</f>
        <v/>
      </c>
      <c r="M63" s="36">
        <f>L63*1.06</f>
        <v/>
      </c>
      <c r="N63" s="34" t="n">
        <v>0</v>
      </c>
      <c r="O63" s="34" t="n">
        <v>0</v>
      </c>
      <c r="P63" s="34" t="n">
        <v>0</v>
      </c>
      <c r="Q63" s="34" t="n">
        <v>0</v>
      </c>
      <c r="R63" s="32" t="inlineStr"/>
      <c r="S63" s="34">
        <f>SUM(N63:Q63)</f>
        <v/>
      </c>
      <c r="T63" s="35" t="n">
        <v>0</v>
      </c>
      <c r="U63" s="35">
        <f>S63*4.0*8.0</f>
        <v/>
      </c>
      <c r="V63" s="36">
        <f>(U63*I63)/1000</f>
        <v/>
      </c>
      <c r="W63" s="36">
        <f>V63*1.06</f>
        <v/>
      </c>
      <c r="X63" s="34">
        <f>H63-S63</f>
        <v/>
      </c>
      <c r="Y63" s="35" t="n">
        <v>0</v>
      </c>
      <c r="Z63" s="35">
        <f>X63*4.0*8.0</f>
        <v/>
      </c>
      <c r="AA63" s="36">
        <f>(Z63*I63)/1000</f>
        <v/>
      </c>
      <c r="AB63" s="36">
        <f>AA63*1.06</f>
        <v/>
      </c>
      <c r="AC63" s="35" t="n">
        <v>0</v>
      </c>
      <c r="AD63" s="35" t="n">
        <v>0</v>
      </c>
      <c r="AE63" s="36" t="n">
        <v>0</v>
      </c>
    </row>
    <row r="64">
      <c r="A64" s="32" t="inlineStr">
        <is>
          <t>Panels</t>
        </is>
      </c>
      <c r="B64" s="33" t="inlineStr">
        <is>
          <t>15/32" OSB/PLY</t>
        </is>
      </c>
      <c r="C64" s="32" t="n">
        <v>4</v>
      </c>
      <c r="D64" s="32" t="n">
        <v>8</v>
      </c>
      <c r="E64" s="32" t="inlineStr"/>
      <c r="F64" s="34" t="n">
        <v>12883</v>
      </c>
      <c r="G64" s="34" t="n">
        <v>0</v>
      </c>
      <c r="H64" s="34">
        <f>F64+G64</f>
        <v/>
      </c>
      <c r="I64" s="35" t="n">
        <v>475</v>
      </c>
      <c r="J64" s="35" t="n">
        <v>0</v>
      </c>
      <c r="K64" s="35">
        <f>H64*4.0*8.0</f>
        <v/>
      </c>
      <c r="L64" s="36">
        <f>(K64*I64)/1000</f>
        <v/>
      </c>
      <c r="M64" s="36">
        <f>L64*1.06</f>
        <v/>
      </c>
      <c r="N64" s="34" t="n">
        <v>0</v>
      </c>
      <c r="O64" s="34" t="n">
        <v>0</v>
      </c>
      <c r="P64" s="34" t="n">
        <v>0</v>
      </c>
      <c r="Q64" s="34" t="n">
        <v>0</v>
      </c>
      <c r="R64" s="32" t="inlineStr"/>
      <c r="S64" s="34">
        <f>SUM(N64:Q64)</f>
        <v/>
      </c>
      <c r="T64" s="35" t="n">
        <v>0</v>
      </c>
      <c r="U64" s="35">
        <f>S64*4.0*8.0</f>
        <v/>
      </c>
      <c r="V64" s="36">
        <f>(U64*I64)/1000</f>
        <v/>
      </c>
      <c r="W64" s="36">
        <f>V64*1.06</f>
        <v/>
      </c>
      <c r="X64" s="34">
        <f>H64-S64</f>
        <v/>
      </c>
      <c r="Y64" s="35" t="n">
        <v>0</v>
      </c>
      <c r="Z64" s="35">
        <f>X64*4.0*8.0</f>
        <v/>
      </c>
      <c r="AA64" s="36">
        <f>(Z64*I64)/1000</f>
        <v/>
      </c>
      <c r="AB64" s="36">
        <f>AA64*1.06</f>
        <v/>
      </c>
      <c r="AC64" s="35" t="n">
        <v>0</v>
      </c>
      <c r="AD64" s="35" t="n">
        <v>0</v>
      </c>
      <c r="AE64" s="36" t="n">
        <v>0</v>
      </c>
    </row>
    <row r="65">
      <c r="A65" s="32" t="inlineStr">
        <is>
          <t>Panels</t>
        </is>
      </c>
      <c r="B65" s="33" t="inlineStr">
        <is>
          <t>5/8" GYPSUM</t>
        </is>
      </c>
      <c r="C65" s="32" t="n">
        <v>4</v>
      </c>
      <c r="D65" s="32" t="n">
        <v>8</v>
      </c>
      <c r="E65" s="32" t="inlineStr"/>
      <c r="F65" s="34" t="n">
        <v>80</v>
      </c>
      <c r="G65" s="34" t="n">
        <v>0</v>
      </c>
      <c r="H65" s="34">
        <f>F65+G65</f>
        <v/>
      </c>
      <c r="I65" s="35" t="n">
        <v>535</v>
      </c>
      <c r="J65" s="35" t="n">
        <v>0</v>
      </c>
      <c r="K65" s="35">
        <f>H65*4.0*8.0</f>
        <v/>
      </c>
      <c r="L65" s="36">
        <f>(K65*I65)/1000</f>
        <v/>
      </c>
      <c r="M65" s="36">
        <f>L65*1.06</f>
        <v/>
      </c>
      <c r="N65" s="34" t="n">
        <v>0</v>
      </c>
      <c r="O65" s="34" t="n">
        <v>0</v>
      </c>
      <c r="P65" s="34" t="n">
        <v>0</v>
      </c>
      <c r="Q65" s="34" t="n">
        <v>0</v>
      </c>
      <c r="R65" s="32" t="inlineStr"/>
      <c r="S65" s="34">
        <f>SUM(N65:Q65)</f>
        <v/>
      </c>
      <c r="T65" s="35" t="n">
        <v>0</v>
      </c>
      <c r="U65" s="35">
        <f>S65*4.0*8.0</f>
        <v/>
      </c>
      <c r="V65" s="36">
        <f>(U65*I65)/1000</f>
        <v/>
      </c>
      <c r="W65" s="36">
        <f>V65*1.06</f>
        <v/>
      </c>
      <c r="X65" s="34">
        <f>H65-S65</f>
        <v/>
      </c>
      <c r="Y65" s="35" t="n">
        <v>0</v>
      </c>
      <c r="Z65" s="35">
        <f>X65*4.0*8.0</f>
        <v/>
      </c>
      <c r="AA65" s="36">
        <f>(Z65*I65)/1000</f>
        <v/>
      </c>
      <c r="AB65" s="36">
        <f>AA65*1.06</f>
        <v/>
      </c>
      <c r="AC65" s="35" t="n">
        <v>0</v>
      </c>
      <c r="AD65" s="35" t="n">
        <v>0</v>
      </c>
      <c r="AE65" s="36" t="n">
        <v>0</v>
      </c>
    </row>
    <row r="66">
      <c r="A66" s="32" t="inlineStr">
        <is>
          <t>Panels</t>
        </is>
      </c>
      <c r="B66" s="33" t="inlineStr">
        <is>
          <t>15/32" OSB/PLY</t>
        </is>
      </c>
      <c r="C66" s="32" t="n">
        <v>4</v>
      </c>
      <c r="D66" s="32" t="n">
        <v>8</v>
      </c>
      <c r="E66" s="32" t="inlineStr"/>
      <c r="F66" s="34" t="n">
        <v>8152</v>
      </c>
      <c r="G66" s="34" t="n">
        <v>0</v>
      </c>
      <c r="H66" s="34">
        <f>F66+G66</f>
        <v/>
      </c>
      <c r="I66" s="35" t="n">
        <v>475</v>
      </c>
      <c r="J66" s="35" t="n">
        <v>0</v>
      </c>
      <c r="K66" s="35">
        <f>H66*4.0*8.0</f>
        <v/>
      </c>
      <c r="L66" s="36">
        <f>(K66*I66)/1000</f>
        <v/>
      </c>
      <c r="M66" s="36">
        <f>L66*1.06</f>
        <v/>
      </c>
      <c r="N66" s="34" t="n">
        <v>0</v>
      </c>
      <c r="O66" s="34" t="n">
        <v>0</v>
      </c>
      <c r="P66" s="34" t="n">
        <v>0</v>
      </c>
      <c r="Q66" s="34" t="n">
        <v>0</v>
      </c>
      <c r="R66" s="32" t="inlineStr"/>
      <c r="S66" s="34">
        <f>SUM(N66:Q66)</f>
        <v/>
      </c>
      <c r="T66" s="35" t="n">
        <v>0</v>
      </c>
      <c r="U66" s="35">
        <f>S66*4.0*8.0</f>
        <v/>
      </c>
      <c r="V66" s="36">
        <f>(U66*I66)/1000</f>
        <v/>
      </c>
      <c r="W66" s="36">
        <f>V66*1.06</f>
        <v/>
      </c>
      <c r="X66" s="34">
        <f>H66-S66</f>
        <v/>
      </c>
      <c r="Y66" s="35" t="n">
        <v>0</v>
      </c>
      <c r="Z66" s="35">
        <f>X66*4.0*8.0</f>
        <v/>
      </c>
      <c r="AA66" s="36">
        <f>(Z66*I66)/1000</f>
        <v/>
      </c>
      <c r="AB66" s="36">
        <f>AA66*1.06</f>
        <v/>
      </c>
      <c r="AC66" s="35" t="n">
        <v>0</v>
      </c>
      <c r="AD66" s="35" t="n">
        <v>0</v>
      </c>
      <c r="AE66" s="36" t="n">
        <v>0</v>
      </c>
    </row>
    <row r="67">
      <c r="A67" s="32" t="inlineStr">
        <is>
          <t>Panels</t>
        </is>
      </c>
      <c r="B67" s="33" t="inlineStr">
        <is>
          <t>19/32" 4X8 CDX (CO#02)</t>
        </is>
      </c>
      <c r="C67" s="32" t="n">
        <v>4</v>
      </c>
      <c r="D67" s="32" t="n">
        <v>8</v>
      </c>
      <c r="E67" s="32" t="inlineStr"/>
      <c r="F67" s="34" t="n">
        <v>0</v>
      </c>
      <c r="G67" s="34" t="n">
        <v>3</v>
      </c>
      <c r="H67" s="34">
        <f>F67+G67</f>
        <v/>
      </c>
      <c r="I67" s="35" t="n">
        <v>27.45</v>
      </c>
      <c r="J67" s="35" t="n">
        <v>0</v>
      </c>
      <c r="K67" s="35">
        <f>H67*4.0*8.0</f>
        <v/>
      </c>
      <c r="L67" s="36">
        <f>(K67*I67)/1000</f>
        <v/>
      </c>
      <c r="M67" s="36">
        <f>L67*1.06</f>
        <v/>
      </c>
      <c r="N67" s="34" t="n">
        <v>0</v>
      </c>
      <c r="O67" s="34" t="n">
        <v>0</v>
      </c>
      <c r="P67" s="34" t="n">
        <v>0</v>
      </c>
      <c r="Q67" s="34" t="n">
        <v>3</v>
      </c>
      <c r="R67" s="32" t="inlineStr">
        <is>
          <t>68981008</t>
        </is>
      </c>
      <c r="S67" s="34">
        <f>SUM(N67:Q67)</f>
        <v/>
      </c>
      <c r="T67" s="35" t="n">
        <v>0</v>
      </c>
      <c r="U67" s="35">
        <f>S67*4.0*8.0</f>
        <v/>
      </c>
      <c r="V67" s="36">
        <f>(U67*I67)/1000</f>
        <v/>
      </c>
      <c r="W67" s="36">
        <f>V67*1.06</f>
        <v/>
      </c>
      <c r="X67" s="34">
        <f>H67-S67</f>
        <v/>
      </c>
      <c r="Y67" s="35" t="n">
        <v>0</v>
      </c>
      <c r="Z67" s="35">
        <f>X67*4.0*8.0</f>
        <v/>
      </c>
      <c r="AA67" s="36">
        <f>(Z67*I67)/1000</f>
        <v/>
      </c>
      <c r="AB67" s="36">
        <f>AA67*1.06</f>
        <v/>
      </c>
      <c r="AC67" s="35" t="n">
        <v>0</v>
      </c>
      <c r="AD67" s="35" t="n">
        <v>0</v>
      </c>
      <c r="AE67" s="36" t="n">
        <v>0</v>
      </c>
    </row>
    <row r="68" ht="18" customHeight="1">
      <c r="A68" s="37" t="inlineStr">
        <is>
          <t>PANELS SUBTOTAL</t>
        </is>
      </c>
      <c r="B68" s="38" t="inlineStr"/>
      <c r="C68" s="38" t="inlineStr"/>
      <c r="D68" s="38" t="inlineStr"/>
      <c r="E68" s="38" t="inlineStr"/>
      <c r="F68" s="39">
        <f>SUM(F60:F67)</f>
        <v/>
      </c>
      <c r="G68" s="39">
        <f>SUM(G60:G67)</f>
        <v/>
      </c>
      <c r="H68" s="39">
        <f>SUM(H60:H67)</f>
        <v/>
      </c>
      <c r="I68" s="38" t="inlineStr"/>
      <c r="J68" s="40">
        <f>SUM(J60:J67)</f>
        <v/>
      </c>
      <c r="K68" s="40">
        <f>SUM(K60:K67)</f>
        <v/>
      </c>
      <c r="L68" s="41">
        <f>SUM(L60:L67)</f>
        <v/>
      </c>
      <c r="M68" s="41">
        <f>SUM(M60:M67)</f>
        <v/>
      </c>
      <c r="N68" s="38">
        <f>SUM(N60:N67)</f>
        <v/>
      </c>
      <c r="O68" s="38">
        <f>SUM(O60:O67)</f>
        <v/>
      </c>
      <c r="P68" s="38">
        <f>SUM(P60:P67)</f>
        <v/>
      </c>
      <c r="Q68" s="38">
        <f>SUM(Q60:Q67)</f>
        <v/>
      </c>
      <c r="R68" s="38" t="inlineStr"/>
      <c r="S68" s="39">
        <f>SUM(S60:S67)</f>
        <v/>
      </c>
      <c r="T68" s="40">
        <f>SUM(T60:T67)</f>
        <v/>
      </c>
      <c r="U68" s="40">
        <f>SUM(U60:U67)</f>
        <v/>
      </c>
      <c r="V68" s="41">
        <f>SUM(V60:V67)</f>
        <v/>
      </c>
      <c r="W68" s="41">
        <f>SUM(W60:W67)</f>
        <v/>
      </c>
      <c r="X68" s="39">
        <f>SUM(X60:X67)</f>
        <v/>
      </c>
      <c r="Y68" s="40">
        <f>SUM(Y60:Y67)</f>
        <v/>
      </c>
      <c r="Z68" s="40">
        <f>SUM(Z60:Z67)</f>
        <v/>
      </c>
      <c r="AA68" s="41">
        <f>SUM(AA60:AA67)</f>
        <v/>
      </c>
      <c r="AB68" s="41">
        <f>SUM(AB60:AB67)</f>
        <v/>
      </c>
      <c r="AC68" s="40">
        <f>SUM(AC60:AC67)</f>
        <v/>
      </c>
      <c r="AD68" s="40">
        <f>SUM(AD60:AD67)</f>
        <v/>
      </c>
      <c r="AE68" s="41">
        <f>SUM(AE60:AE67)</f>
        <v/>
      </c>
    </row>
    <row r="69" ht="5" customHeight="1"/>
    <row r="70">
      <c r="A70" s="42" t="inlineStr">
        <is>
          <t>HouseWrap</t>
        </is>
      </c>
      <c r="B70" s="43" t="inlineStr">
        <is>
          <t>COMMERCIAL WRAP 10'X125'</t>
        </is>
      </c>
      <c r="C70" s="42" t="inlineStr"/>
      <c r="D70" s="42" t="inlineStr"/>
      <c r="E70" s="42" t="inlineStr"/>
      <c r="F70" s="44" t="n">
        <v>212</v>
      </c>
      <c r="G70" s="44" t="n">
        <v>0</v>
      </c>
      <c r="H70" s="44">
        <f>F70+G70</f>
        <v/>
      </c>
      <c r="I70" s="45" t="n">
        <v>323</v>
      </c>
      <c r="J70" s="45" t="n">
        <v>0</v>
      </c>
      <c r="K70" s="45" t="n">
        <v>0</v>
      </c>
      <c r="L70" s="46">
        <f>H70*I70</f>
        <v/>
      </c>
      <c r="M70" s="46">
        <f>L70*1.06</f>
        <v/>
      </c>
      <c r="N70" s="44" t="n">
        <v>0</v>
      </c>
      <c r="O70" s="44" t="n">
        <v>0</v>
      </c>
      <c r="P70" s="44" t="n">
        <v>0</v>
      </c>
      <c r="Q70" s="44" t="n">
        <v>0</v>
      </c>
      <c r="R70" s="42" t="inlineStr"/>
      <c r="S70" s="44">
        <f>SUM(N70:Q70)</f>
        <v/>
      </c>
      <c r="T70" s="45" t="n">
        <v>0</v>
      </c>
      <c r="U70" s="45" t="n">
        <v>0</v>
      </c>
      <c r="V70" s="46">
        <f>S70*I70</f>
        <v/>
      </c>
      <c r="W70" s="46">
        <f>V70*1.06</f>
        <v/>
      </c>
      <c r="X70" s="44">
        <f>H70-S70</f>
        <v/>
      </c>
      <c r="Y70" s="45" t="n">
        <v>0</v>
      </c>
      <c r="Z70" s="45" t="n">
        <v>0</v>
      </c>
      <c r="AA70" s="46">
        <f>X70*I70</f>
        <v/>
      </c>
      <c r="AB70" s="46">
        <f>AA70*1.06</f>
        <v/>
      </c>
      <c r="AC70" s="45" t="n">
        <v>0</v>
      </c>
      <c r="AD70" s="45" t="n">
        <v>0</v>
      </c>
      <c r="AE70" s="46" t="n">
        <v>0</v>
      </c>
    </row>
    <row r="71">
      <c r="A71" s="42" t="inlineStr">
        <is>
          <t>HouseWrap</t>
        </is>
      </c>
      <c r="B71" s="43" t="inlineStr">
        <is>
          <t>FLASHING 12"X75'</t>
        </is>
      </c>
      <c r="C71" s="42" t="inlineStr"/>
      <c r="D71" s="42" t="inlineStr"/>
      <c r="E71" s="42" t="inlineStr"/>
      <c r="F71" s="44" t="n">
        <v>115</v>
      </c>
      <c r="G71" s="44" t="n">
        <v>0</v>
      </c>
      <c r="H71" s="44">
        <f>F71+G71</f>
        <v/>
      </c>
      <c r="I71" s="45" t="n">
        <v>92</v>
      </c>
      <c r="J71" s="45" t="n">
        <v>0</v>
      </c>
      <c r="K71" s="45" t="n">
        <v>0</v>
      </c>
      <c r="L71" s="46">
        <f>H71*I71</f>
        <v/>
      </c>
      <c r="M71" s="46">
        <f>L71*1.06</f>
        <v/>
      </c>
      <c r="N71" s="44" t="n">
        <v>0</v>
      </c>
      <c r="O71" s="44" t="n">
        <v>0</v>
      </c>
      <c r="P71" s="44" t="n">
        <v>0</v>
      </c>
      <c r="Q71" s="44" t="n">
        <v>0</v>
      </c>
      <c r="R71" s="42" t="inlineStr"/>
      <c r="S71" s="44">
        <f>SUM(N71:Q71)</f>
        <v/>
      </c>
      <c r="T71" s="45" t="n">
        <v>0</v>
      </c>
      <c r="U71" s="45" t="n">
        <v>0</v>
      </c>
      <c r="V71" s="46">
        <f>S71*I71</f>
        <v/>
      </c>
      <c r="W71" s="46">
        <f>V71*1.06</f>
        <v/>
      </c>
      <c r="X71" s="44">
        <f>H71-S71</f>
        <v/>
      </c>
      <c r="Y71" s="45" t="n">
        <v>0</v>
      </c>
      <c r="Z71" s="45" t="n">
        <v>0</v>
      </c>
      <c r="AA71" s="46">
        <f>X71*I71</f>
        <v/>
      </c>
      <c r="AB71" s="46">
        <f>AA71*1.06</f>
        <v/>
      </c>
      <c r="AC71" s="45" t="n">
        <v>0</v>
      </c>
      <c r="AD71" s="45" t="n">
        <v>0</v>
      </c>
      <c r="AE71" s="46" t="n">
        <v>0</v>
      </c>
    </row>
    <row r="72">
      <c r="A72" s="42" t="inlineStr">
        <is>
          <t>HouseWrap</t>
        </is>
      </c>
      <c r="B72" s="43" t="inlineStr">
        <is>
          <t>FLASHING 4"X75'</t>
        </is>
      </c>
      <c r="C72" s="42" t="inlineStr"/>
      <c r="D72" s="42" t="inlineStr"/>
      <c r="E72" s="42" t="inlineStr"/>
      <c r="F72" s="44" t="n">
        <v>1015</v>
      </c>
      <c r="G72" s="44" t="n">
        <v>0</v>
      </c>
      <c r="H72" s="44">
        <f>F72+G72</f>
        <v/>
      </c>
      <c r="I72" s="45" t="n">
        <v>37</v>
      </c>
      <c r="J72" s="45" t="n">
        <v>0</v>
      </c>
      <c r="K72" s="45" t="n">
        <v>0</v>
      </c>
      <c r="L72" s="46">
        <f>H72*I72</f>
        <v/>
      </c>
      <c r="M72" s="46">
        <f>L72*1.06</f>
        <v/>
      </c>
      <c r="N72" s="44" t="n">
        <v>0</v>
      </c>
      <c r="O72" s="44" t="n">
        <v>0</v>
      </c>
      <c r="P72" s="44" t="n">
        <v>0</v>
      </c>
      <c r="Q72" s="44" t="n">
        <v>0</v>
      </c>
      <c r="R72" s="42" t="inlineStr"/>
      <c r="S72" s="44">
        <f>SUM(N72:Q72)</f>
        <v/>
      </c>
      <c r="T72" s="45" t="n">
        <v>0</v>
      </c>
      <c r="U72" s="45" t="n">
        <v>0</v>
      </c>
      <c r="V72" s="46">
        <f>S72*I72</f>
        <v/>
      </c>
      <c r="W72" s="46">
        <f>V72*1.06</f>
        <v/>
      </c>
      <c r="X72" s="44">
        <f>H72-S72</f>
        <v/>
      </c>
      <c r="Y72" s="45" t="n">
        <v>0</v>
      </c>
      <c r="Z72" s="45" t="n">
        <v>0</v>
      </c>
      <c r="AA72" s="46">
        <f>X72*I72</f>
        <v/>
      </c>
      <c r="AB72" s="46">
        <f>AA72*1.06</f>
        <v/>
      </c>
      <c r="AC72" s="45" t="n">
        <v>0</v>
      </c>
      <c r="AD72" s="45" t="n">
        <v>0</v>
      </c>
      <c r="AE72" s="46" t="n">
        <v>0</v>
      </c>
    </row>
    <row r="73">
      <c r="A73" s="42" t="inlineStr">
        <is>
          <t>HouseWrap</t>
        </is>
      </c>
      <c r="B73" s="43" t="inlineStr">
        <is>
          <t>FLASHING 6"X75'</t>
        </is>
      </c>
      <c r="C73" s="42" t="inlineStr"/>
      <c r="D73" s="42" t="inlineStr"/>
      <c r="E73" s="42" t="inlineStr"/>
      <c r="F73" s="44" t="n">
        <v>1000</v>
      </c>
      <c r="G73" s="44" t="n">
        <v>0</v>
      </c>
      <c r="H73" s="44">
        <f>F73+G73</f>
        <v/>
      </c>
      <c r="I73" s="45" t="n">
        <v>53.25</v>
      </c>
      <c r="J73" s="45" t="n">
        <v>0</v>
      </c>
      <c r="K73" s="45" t="n">
        <v>0</v>
      </c>
      <c r="L73" s="46">
        <f>H73*I73</f>
        <v/>
      </c>
      <c r="M73" s="46">
        <f>L73*1.06</f>
        <v/>
      </c>
      <c r="N73" s="44" t="n">
        <v>0</v>
      </c>
      <c r="O73" s="44" t="n">
        <v>0</v>
      </c>
      <c r="P73" s="44" t="n">
        <v>0</v>
      </c>
      <c r="Q73" s="44" t="n">
        <v>0</v>
      </c>
      <c r="R73" s="42" t="inlineStr"/>
      <c r="S73" s="44">
        <f>SUM(N73:Q73)</f>
        <v/>
      </c>
      <c r="T73" s="45" t="n">
        <v>0</v>
      </c>
      <c r="U73" s="45" t="n">
        <v>0</v>
      </c>
      <c r="V73" s="46">
        <f>S73*I73</f>
        <v/>
      </c>
      <c r="W73" s="46">
        <f>V73*1.06</f>
        <v/>
      </c>
      <c r="X73" s="44">
        <f>H73-S73</f>
        <v/>
      </c>
      <c r="Y73" s="45" t="n">
        <v>0</v>
      </c>
      <c r="Z73" s="45" t="n">
        <v>0</v>
      </c>
      <c r="AA73" s="46">
        <f>X73*I73</f>
        <v/>
      </c>
      <c r="AB73" s="46">
        <f>AA73*1.06</f>
        <v/>
      </c>
      <c r="AC73" s="45" t="n">
        <v>0</v>
      </c>
      <c r="AD73" s="45" t="n">
        <v>0</v>
      </c>
      <c r="AE73" s="46" t="n">
        <v>0</v>
      </c>
    </row>
    <row r="74">
      <c r="A74" s="42" t="inlineStr">
        <is>
          <t>HouseWrap</t>
        </is>
      </c>
      <c r="B74" s="43" t="inlineStr">
        <is>
          <t>FLEX 9"X75'</t>
        </is>
      </c>
      <c r="C74" s="42" t="inlineStr"/>
      <c r="D74" s="42" t="inlineStr"/>
      <c r="E74" s="42" t="inlineStr"/>
      <c r="F74" s="44" t="n">
        <v>300</v>
      </c>
      <c r="G74" s="44" t="n">
        <v>0</v>
      </c>
      <c r="H74" s="44">
        <f>F74+G74</f>
        <v/>
      </c>
      <c r="I74" s="45" t="n">
        <v>168</v>
      </c>
      <c r="J74" s="45" t="n">
        <v>0</v>
      </c>
      <c r="K74" s="45" t="n">
        <v>0</v>
      </c>
      <c r="L74" s="46">
        <f>H74*I74</f>
        <v/>
      </c>
      <c r="M74" s="46">
        <f>L74*1.06</f>
        <v/>
      </c>
      <c r="N74" s="44" t="n">
        <v>0</v>
      </c>
      <c r="O74" s="44" t="n">
        <v>0</v>
      </c>
      <c r="P74" s="44" t="n">
        <v>0</v>
      </c>
      <c r="Q74" s="44" t="n">
        <v>0</v>
      </c>
      <c r="R74" s="42" t="inlineStr"/>
      <c r="S74" s="44">
        <f>SUM(N74:Q74)</f>
        <v/>
      </c>
      <c r="T74" s="45" t="n">
        <v>0</v>
      </c>
      <c r="U74" s="45" t="n">
        <v>0</v>
      </c>
      <c r="V74" s="46">
        <f>S74*I74</f>
        <v/>
      </c>
      <c r="W74" s="46">
        <f>V74*1.06</f>
        <v/>
      </c>
      <c r="X74" s="44">
        <f>H74-S74</f>
        <v/>
      </c>
      <c r="Y74" s="45" t="n">
        <v>0</v>
      </c>
      <c r="Z74" s="45" t="n">
        <v>0</v>
      </c>
      <c r="AA74" s="46">
        <f>X74*I74</f>
        <v/>
      </c>
      <c r="AB74" s="46">
        <f>AA74*1.06</f>
        <v/>
      </c>
      <c r="AC74" s="45" t="n">
        <v>0</v>
      </c>
      <c r="AD74" s="45" t="n">
        <v>0</v>
      </c>
      <c r="AE74" s="46" t="n">
        <v>0</v>
      </c>
    </row>
    <row r="75">
      <c r="A75" s="42" t="inlineStr">
        <is>
          <t>HouseWrap</t>
        </is>
      </c>
      <c r="B75" s="43" t="inlineStr">
        <is>
          <t>TAPE 3"X165'</t>
        </is>
      </c>
      <c r="C75" s="42" t="inlineStr"/>
      <c r="D75" s="42" t="inlineStr"/>
      <c r="E75" s="42" t="inlineStr"/>
      <c r="F75" s="44" t="n">
        <v>415</v>
      </c>
      <c r="G75" s="44" t="n">
        <v>0</v>
      </c>
      <c r="H75" s="44">
        <f>F75+G75</f>
        <v/>
      </c>
      <c r="I75" s="45" t="n">
        <v>19.5</v>
      </c>
      <c r="J75" s="45" t="n">
        <v>0</v>
      </c>
      <c r="K75" s="45" t="n">
        <v>0</v>
      </c>
      <c r="L75" s="46">
        <f>H75*I75</f>
        <v/>
      </c>
      <c r="M75" s="46">
        <f>L75*1.06</f>
        <v/>
      </c>
      <c r="N75" s="44" t="n">
        <v>0</v>
      </c>
      <c r="O75" s="44" t="n">
        <v>0</v>
      </c>
      <c r="P75" s="44" t="n">
        <v>0</v>
      </c>
      <c r="Q75" s="44" t="n">
        <v>0</v>
      </c>
      <c r="R75" s="42" t="inlineStr"/>
      <c r="S75" s="44">
        <f>SUM(N75:Q75)</f>
        <v/>
      </c>
      <c r="T75" s="45" t="n">
        <v>0</v>
      </c>
      <c r="U75" s="45" t="n">
        <v>0</v>
      </c>
      <c r="V75" s="46">
        <f>S75*I75</f>
        <v/>
      </c>
      <c r="W75" s="46">
        <f>V75*1.06</f>
        <v/>
      </c>
      <c r="X75" s="44">
        <f>H75-S75</f>
        <v/>
      </c>
      <c r="Y75" s="45" t="n">
        <v>0</v>
      </c>
      <c r="Z75" s="45" t="n">
        <v>0</v>
      </c>
      <c r="AA75" s="46">
        <f>X75*I75</f>
        <v/>
      </c>
      <c r="AB75" s="46">
        <f>AA75*1.06</f>
        <v/>
      </c>
      <c r="AC75" s="45" t="n">
        <v>0</v>
      </c>
      <c r="AD75" s="45" t="n">
        <v>0</v>
      </c>
      <c r="AE75" s="46" t="n">
        <v>0</v>
      </c>
    </row>
    <row r="76" ht="18" customHeight="1">
      <c r="A76" s="47" t="inlineStr">
        <is>
          <t>HOUSEWRAP SUBTOTAL</t>
        </is>
      </c>
      <c r="B76" s="48" t="inlineStr"/>
      <c r="C76" s="48" t="inlineStr"/>
      <c r="D76" s="48" t="inlineStr"/>
      <c r="E76" s="48" t="inlineStr"/>
      <c r="F76" s="49">
        <f>SUM(F70:F75)</f>
        <v/>
      </c>
      <c r="G76" s="49">
        <f>SUM(G70:G75)</f>
        <v/>
      </c>
      <c r="H76" s="49">
        <f>SUM(H70:H75)</f>
        <v/>
      </c>
      <c r="I76" s="48" t="inlineStr"/>
      <c r="J76" s="50">
        <f>SUM(J70:J75)</f>
        <v/>
      </c>
      <c r="K76" s="50">
        <f>SUM(K70:K75)</f>
        <v/>
      </c>
      <c r="L76" s="51">
        <f>SUM(L70:L75)</f>
        <v/>
      </c>
      <c r="M76" s="51">
        <f>SUM(M70:M75)</f>
        <v/>
      </c>
      <c r="N76" s="48">
        <f>SUM(N70:N75)</f>
        <v/>
      </c>
      <c r="O76" s="48">
        <f>SUM(O70:O75)</f>
        <v/>
      </c>
      <c r="P76" s="48">
        <f>SUM(P70:P75)</f>
        <v/>
      </c>
      <c r="Q76" s="48">
        <f>SUM(Q70:Q75)</f>
        <v/>
      </c>
      <c r="R76" s="48" t="inlineStr"/>
      <c r="S76" s="49">
        <f>SUM(S70:S75)</f>
        <v/>
      </c>
      <c r="T76" s="50">
        <f>SUM(T70:T75)</f>
        <v/>
      </c>
      <c r="U76" s="50">
        <f>SUM(U70:U75)</f>
        <v/>
      </c>
      <c r="V76" s="51">
        <f>SUM(V70:V75)</f>
        <v/>
      </c>
      <c r="W76" s="51">
        <f>SUM(W70:W75)</f>
        <v/>
      </c>
      <c r="X76" s="49">
        <f>SUM(X70:X75)</f>
        <v/>
      </c>
      <c r="Y76" s="50">
        <f>SUM(Y70:Y75)</f>
        <v/>
      </c>
      <c r="Z76" s="50">
        <f>SUM(Z70:Z75)</f>
        <v/>
      </c>
      <c r="AA76" s="51">
        <f>SUM(AA70:AA75)</f>
        <v/>
      </c>
      <c r="AB76" s="51">
        <f>SUM(AB70:AB75)</f>
        <v/>
      </c>
      <c r="AC76" s="50">
        <f>SUM(AC70:AC75)</f>
        <v/>
      </c>
      <c r="AD76" s="50">
        <f>SUM(AD70:AD75)</f>
        <v/>
      </c>
      <c r="AE76" s="51">
        <f>SUM(AE70:AE75)</f>
        <v/>
      </c>
    </row>
    <row r="77" ht="5" customHeight="1"/>
    <row r="78" ht="22" customHeight="1">
      <c r="A78" s="52" t="inlineStr">
        <is>
          <t>GRAND TOTAL</t>
        </is>
      </c>
      <c r="B78" s="53" t="inlineStr"/>
      <c r="C78" s="53" t="inlineStr"/>
      <c r="D78" s="53" t="inlineStr"/>
      <c r="E78" s="53" t="inlineStr"/>
      <c r="F78" s="54">
        <f>F36+F46+F58+F68+F76</f>
        <v/>
      </c>
      <c r="G78" s="54">
        <f>G36+G46+G58+G68+G76</f>
        <v/>
      </c>
      <c r="H78" s="54">
        <f>H36+H46+H58+H68+H76</f>
        <v/>
      </c>
      <c r="I78" s="53" t="inlineStr"/>
      <c r="J78" s="55">
        <f>J36+J46+J58+J68+J76</f>
        <v/>
      </c>
      <c r="K78" s="55">
        <f>K36+K46+K58+K68+K76</f>
        <v/>
      </c>
      <c r="L78" s="56">
        <f>L36+L46+L58+L68+L76</f>
        <v/>
      </c>
      <c r="M78" s="56">
        <f>M36+M46+M58+M68+M76</f>
        <v/>
      </c>
      <c r="N78" s="53">
        <f>N36+N46+N58+N68+N76</f>
        <v/>
      </c>
      <c r="O78" s="53">
        <f>O36+O46+O58+O68+O76</f>
        <v/>
      </c>
      <c r="P78" s="53">
        <f>P36+P46+P58+P68+P76</f>
        <v/>
      </c>
      <c r="Q78" s="53">
        <f>Q36+Q46+Q58+Q68+Q76</f>
        <v/>
      </c>
      <c r="R78" s="53" t="inlineStr"/>
      <c r="S78" s="54">
        <f>S36+S46+S58+S68+S76</f>
        <v/>
      </c>
      <c r="T78" s="55">
        <f>T36+T46+T58+T68+T76</f>
        <v/>
      </c>
      <c r="U78" s="55">
        <f>U36+U46+U58+U68+U76</f>
        <v/>
      </c>
      <c r="V78" s="56">
        <f>V36+V46+V58+V68+V76</f>
        <v/>
      </c>
      <c r="W78" s="56">
        <f>W36+W46+W58+W68+W76</f>
        <v/>
      </c>
      <c r="X78" s="54">
        <f>X36+X46+X58+X68+X76</f>
        <v/>
      </c>
      <c r="Y78" s="55">
        <f>Y36+Y46+Y58+Y68+Y76</f>
        <v/>
      </c>
      <c r="Z78" s="55">
        <f>Z36+Z46+Z58+Z68+Z76</f>
        <v/>
      </c>
      <c r="AA78" s="56">
        <f>AA36+AA46+AA58+AA68+AA76</f>
        <v/>
      </c>
      <c r="AB78" s="56">
        <f>AB36+AB46+AB58+AB68+AB76</f>
        <v/>
      </c>
      <c r="AC78" s="55">
        <f>AC36+AC46+AC58+AC68+AC76</f>
        <v/>
      </c>
      <c r="AD78" s="55">
        <f>AD36+AD46+AD58+AD68+AD76</f>
        <v/>
      </c>
      <c r="AE78" s="56">
        <f>AE36+AE46+AE58+AE68+AE76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6" customWidth="1" min="5" max="5"/>
    <col width="6" customWidth="1" min="6" max="6"/>
    <col width="6" customWidth="1" min="7" max="7"/>
    <col width="10" customWidth="1" min="8" max="8"/>
    <col width="11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  <col width="16" customWidth="1" min="15" max="15"/>
    <col width="28" customWidth="1" min="16" max="16"/>
  </cols>
  <sheetData>
    <row r="1" ht="30" customHeight="1">
      <c r="A1" s="1" t="inlineStr">
        <is>
          <t>CO #</t>
        </is>
      </c>
      <c r="B1" s="1" t="inlineStr">
        <is>
          <t>CO 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</t>
        </is>
      </c>
      <c r="H1" s="1" t="inlineStr">
        <is>
          <t>Qty Change</t>
        </is>
      </c>
      <c r="I1" s="1" t="inlineStr">
        <is>
          <t>Unit Cost</t>
        </is>
      </c>
      <c r="J1" s="1" t="inlineStr">
        <is>
          <t>Footage/SF</t>
        </is>
      </c>
      <c r="K1" s="1" t="inlineStr">
        <is>
          <t>LF</t>
        </is>
      </c>
      <c r="L1" s="1" t="inlineStr">
        <is>
          <t>BF/SF</t>
        </is>
      </c>
      <c r="M1" s="1" t="inlineStr">
        <is>
          <t>Amount</t>
        </is>
      </c>
      <c r="N1" s="1" t="inlineStr">
        <is>
          <t>Amount+Tax</t>
        </is>
      </c>
      <c r="O1" s="1" t="inlineStr">
        <is>
          <t>Action</t>
        </is>
      </c>
      <c r="P1" s="1" t="inlineStr">
        <is>
          <t>Matched PO Item</t>
        </is>
      </c>
    </row>
    <row r="2">
      <c r="A2" s="2" t="inlineStr">
        <is>
          <t>007</t>
        </is>
      </c>
      <c r="B2" s="2" t="inlineStr">
        <is>
          <t>2026-03-03</t>
        </is>
      </c>
      <c r="C2" s="2" t="inlineStr">
        <is>
          <t>Lumber</t>
        </is>
      </c>
      <c r="D2" s="3" t="inlineStr">
        <is>
          <t>SYP #2 RED SAFETY RAIL 2X4X12</t>
        </is>
      </c>
      <c r="E2" s="2" t="n">
        <v>2</v>
      </c>
      <c r="F2" s="2" t="n">
        <v>4</v>
      </c>
      <c r="G2" s="2" t="n">
        <v>12</v>
      </c>
      <c r="H2" s="4" t="n">
        <v>624</v>
      </c>
      <c r="I2" s="6" t="n">
        <v>935</v>
      </c>
      <c r="J2" s="2" t="n">
        <v>4992</v>
      </c>
      <c r="K2" s="2" t="n">
        <v>7488</v>
      </c>
      <c r="L2" s="2" t="n">
        <v>4992</v>
      </c>
      <c r="M2" s="6" t="n">
        <v>4667.52</v>
      </c>
      <c r="N2" s="6" t="n">
        <v>4947.57</v>
      </c>
      <c r="O2" s="3" t="inlineStr">
        <is>
          <t>add_new</t>
        </is>
      </c>
      <c r="P2" s="3" t="inlineStr">
        <is>
          <t>NEW</t>
        </is>
      </c>
    </row>
    <row r="3">
      <c r="A3" s="22" t="inlineStr">
        <is>
          <t>007</t>
        </is>
      </c>
      <c r="B3" s="22" t="inlineStr">
        <is>
          <t>2026-03-03</t>
        </is>
      </c>
      <c r="C3" s="22" t="inlineStr">
        <is>
          <t>Each</t>
        </is>
      </c>
      <c r="D3" s="23" t="inlineStr">
        <is>
          <t>DYNAFLEX 800 10.1 OZ</t>
        </is>
      </c>
      <c r="E3" s="22" t="inlineStr"/>
      <c r="F3" s="22" t="inlineStr"/>
      <c r="G3" s="22" t="inlineStr"/>
      <c r="H3" s="24" t="n">
        <v>1296</v>
      </c>
      <c r="I3" s="26" t="n">
        <v>5.5</v>
      </c>
      <c r="J3" s="22" t="n">
        <v>1296</v>
      </c>
      <c r="K3" s="22" t="n">
        <v>0</v>
      </c>
      <c r="L3" s="22" t="n">
        <v>1296</v>
      </c>
      <c r="M3" s="26" t="n">
        <v>7128</v>
      </c>
      <c r="N3" s="26" t="n">
        <v>7555.68</v>
      </c>
      <c r="O3" s="23" t="inlineStr">
        <is>
          <t>update_po_qty</t>
        </is>
      </c>
      <c r="P3" s="23" t="inlineStr">
        <is>
          <t>SUBFLOOR ADHESIVE</t>
        </is>
      </c>
    </row>
    <row r="4">
      <c r="A4" s="22" t="inlineStr">
        <is>
          <t>007</t>
        </is>
      </c>
      <c r="B4" s="22" t="inlineStr">
        <is>
          <t>2026-03-03</t>
        </is>
      </c>
      <c r="C4" s="22" t="inlineStr">
        <is>
          <t>Each</t>
        </is>
      </c>
      <c r="D4" s="23" t="inlineStr">
        <is>
          <t>6"X50' BT20-XL</t>
        </is>
      </c>
      <c r="E4" s="22" t="inlineStr"/>
      <c r="F4" s="22" t="inlineStr"/>
      <c r="G4" s="22" t="inlineStr"/>
      <c r="H4" s="24" t="n">
        <v>39</v>
      </c>
      <c r="I4" s="26" t="n">
        <v>30</v>
      </c>
      <c r="J4" s="22" t="n">
        <v>39</v>
      </c>
      <c r="K4" s="22" t="n">
        <v>0</v>
      </c>
      <c r="L4" s="22" t="n">
        <v>39</v>
      </c>
      <c r="M4" s="26" t="n">
        <v>1170</v>
      </c>
      <c r="N4" s="26" t="n">
        <v>1240.2</v>
      </c>
      <c r="O4" s="23" t="inlineStr">
        <is>
          <t>add_new</t>
        </is>
      </c>
      <c r="P4" s="23" t="inlineStr">
        <is>
          <t>NEW</t>
        </is>
      </c>
    </row>
    <row r="5">
      <c r="A5" s="22" t="inlineStr">
        <is>
          <t>007</t>
        </is>
      </c>
      <c r="B5" s="22" t="inlineStr">
        <is>
          <t>2026-03-03</t>
        </is>
      </c>
      <c r="C5" s="22" t="inlineStr">
        <is>
          <t>Each</t>
        </is>
      </c>
      <c r="D5" s="23" t="inlineStr">
        <is>
          <t>5-1/2" DUAL GUARD THRESHOLD TA</t>
        </is>
      </c>
      <c r="E5" s="22" t="inlineStr"/>
      <c r="F5" s="22" t="inlineStr"/>
      <c r="G5" s="22" t="inlineStr"/>
      <c r="H5" s="24" t="n">
        <v>35</v>
      </c>
      <c r="I5" s="26" t="n">
        <v>63.25</v>
      </c>
      <c r="J5" s="22" t="n">
        <v>35</v>
      </c>
      <c r="K5" s="22" t="n">
        <v>0</v>
      </c>
      <c r="L5" s="22" t="n">
        <v>35</v>
      </c>
      <c r="M5" s="26" t="n">
        <v>2213.75</v>
      </c>
      <c r="N5" s="26" t="n">
        <v>2346.58</v>
      </c>
      <c r="O5" s="23" t="inlineStr">
        <is>
          <t>add_new</t>
        </is>
      </c>
      <c r="P5" s="23" t="inlineStr">
        <is>
          <t>NEW</t>
        </is>
      </c>
    </row>
    <row r="6">
      <c r="A6" s="22" t="inlineStr">
        <is>
          <t>02</t>
        </is>
      </c>
      <c r="B6" s="22" t="inlineStr">
        <is>
          <t>2025-11-11</t>
        </is>
      </c>
      <c r="C6" s="22" t="inlineStr">
        <is>
          <t>Each</t>
        </is>
      </c>
      <c r="D6" s="23" t="inlineStr">
        <is>
          <t>SIMPSON HUC410</t>
        </is>
      </c>
      <c r="E6" s="22" t="inlineStr"/>
      <c r="F6" s="22" t="inlineStr"/>
      <c r="G6" s="22" t="inlineStr"/>
      <c r="H6" s="24" t="n">
        <v>4</v>
      </c>
      <c r="I6" s="26" t="n">
        <v>16.25</v>
      </c>
      <c r="J6" s="22" t="n">
        <v>4</v>
      </c>
      <c r="K6" s="22" t="n">
        <v>0</v>
      </c>
      <c r="L6" s="22" t="n">
        <v>4</v>
      </c>
      <c r="M6" s="26" t="n">
        <v>65</v>
      </c>
      <c r="N6" s="26" t="n">
        <v>68.90000000000001</v>
      </c>
      <c r="O6" s="23" t="inlineStr">
        <is>
          <t>add_new</t>
        </is>
      </c>
      <c r="P6" s="23" t="inlineStr">
        <is>
          <t>NEW</t>
        </is>
      </c>
    </row>
    <row r="7">
      <c r="A7" s="22" t="inlineStr">
        <is>
          <t>02</t>
        </is>
      </c>
      <c r="B7" s="22" t="inlineStr">
        <is>
          <t>2025-11-11</t>
        </is>
      </c>
      <c r="C7" s="22" t="inlineStr">
        <is>
          <t>Each</t>
        </is>
      </c>
      <c r="D7" s="23" t="inlineStr">
        <is>
          <t>SIMPSON HUC210</t>
        </is>
      </c>
      <c r="E7" s="22" t="inlineStr"/>
      <c r="F7" s="22" t="inlineStr"/>
      <c r="G7" s="22" t="inlineStr"/>
      <c r="H7" s="24" t="n">
        <v>10</v>
      </c>
      <c r="I7" s="26" t="n">
        <v>18.15</v>
      </c>
      <c r="J7" s="22" t="n">
        <v>10</v>
      </c>
      <c r="K7" s="22" t="n">
        <v>0</v>
      </c>
      <c r="L7" s="22" t="n">
        <v>10</v>
      </c>
      <c r="M7" s="26" t="n">
        <v>181.5</v>
      </c>
      <c r="N7" s="26" t="n">
        <v>192.39</v>
      </c>
      <c r="O7" s="23" t="inlineStr">
        <is>
          <t>add_new</t>
        </is>
      </c>
      <c r="P7" s="23" t="inlineStr">
        <is>
          <t>NEW</t>
        </is>
      </c>
    </row>
    <row r="8">
      <c r="A8" s="22" t="inlineStr">
        <is>
          <t>02</t>
        </is>
      </c>
      <c r="B8" s="22" t="inlineStr">
        <is>
          <t>2025-11-11</t>
        </is>
      </c>
      <c r="C8" s="22" t="inlineStr">
        <is>
          <t>Each</t>
        </is>
      </c>
      <c r="D8" s="23" t="inlineStr">
        <is>
          <t>TREX HIDDEN FASTENERS</t>
        </is>
      </c>
      <c r="E8" s="22" t="inlineStr"/>
      <c r="F8" s="22" t="inlineStr"/>
      <c r="G8" s="22" t="inlineStr"/>
      <c r="H8" s="24" t="n">
        <v>3</v>
      </c>
      <c r="I8" s="26" t="n">
        <v>49.85</v>
      </c>
      <c r="J8" s="22" t="n">
        <v>3</v>
      </c>
      <c r="K8" s="22" t="n">
        <v>0</v>
      </c>
      <c r="L8" s="22" t="n">
        <v>3</v>
      </c>
      <c r="M8" s="26" t="n">
        <v>149.55</v>
      </c>
      <c r="N8" s="26" t="n">
        <v>158.52</v>
      </c>
      <c r="O8" s="23" t="inlineStr">
        <is>
          <t>add_new</t>
        </is>
      </c>
      <c r="P8" s="23" t="inlineStr">
        <is>
          <t>NEW</t>
        </is>
      </c>
    </row>
    <row r="9">
      <c r="A9" s="32" t="inlineStr">
        <is>
          <t>02</t>
        </is>
      </c>
      <c r="B9" s="32" t="inlineStr">
        <is>
          <t>2025-11-11</t>
        </is>
      </c>
      <c r="C9" s="32" t="inlineStr">
        <is>
          <t>Panels</t>
        </is>
      </c>
      <c r="D9" s="33" t="inlineStr">
        <is>
          <t>19/32" 4X8 CDX</t>
        </is>
      </c>
      <c r="E9" s="32" t="n">
        <v>0.59375</v>
      </c>
      <c r="F9" s="32" t="n">
        <v>8</v>
      </c>
      <c r="G9" s="32" t="inlineStr"/>
      <c r="H9" s="34" t="n">
        <v>3</v>
      </c>
      <c r="I9" s="36" t="n">
        <v>27.45</v>
      </c>
      <c r="J9" s="32" t="n">
        <v>3</v>
      </c>
      <c r="K9" s="32" t="n">
        <v>0</v>
      </c>
      <c r="L9" s="32" t="n">
        <v>96</v>
      </c>
      <c r="M9" s="36" t="n">
        <v>82.34999999999999</v>
      </c>
      <c r="N9" s="36" t="n">
        <v>87.29000000000001</v>
      </c>
      <c r="O9" s="33" t="inlineStr">
        <is>
          <t>add_new</t>
        </is>
      </c>
      <c r="P9" s="33" t="inlineStr">
        <is>
          <t>NEW</t>
        </is>
      </c>
    </row>
    <row r="10">
      <c r="A10" s="22" t="inlineStr">
        <is>
          <t>02</t>
        </is>
      </c>
      <c r="B10" s="22" t="inlineStr">
        <is>
          <t>2025-11-11</t>
        </is>
      </c>
      <c r="C10" s="22" t="inlineStr">
        <is>
          <t>Each</t>
        </is>
      </c>
      <c r="D10" s="23" t="inlineStr">
        <is>
          <t>TREX CLAM SHELL SQUARE EDGE 1X6X16</t>
        </is>
      </c>
      <c r="E10" s="22" t="n">
        <v>1</v>
      </c>
      <c r="F10" s="22" t="n">
        <v>6</v>
      </c>
      <c r="G10" s="22" t="n">
        <v>16</v>
      </c>
      <c r="H10" s="24" t="n">
        <v>3</v>
      </c>
      <c r="I10" s="26" t="n">
        <v>47.2</v>
      </c>
      <c r="J10" s="22" t="n">
        <v>3</v>
      </c>
      <c r="K10" s="22" t="n">
        <v>0</v>
      </c>
      <c r="L10" s="22" t="n">
        <v>3</v>
      </c>
      <c r="M10" s="26" t="n">
        <v>141.6</v>
      </c>
      <c r="N10" s="26" t="n">
        <v>150.1</v>
      </c>
      <c r="O10" s="23" t="inlineStr">
        <is>
          <t>add_new</t>
        </is>
      </c>
      <c r="P10" s="23" t="inlineStr">
        <is>
          <t>NEW</t>
        </is>
      </c>
    </row>
    <row r="11">
      <c r="A11" s="22" t="inlineStr">
        <is>
          <t>02</t>
        </is>
      </c>
      <c r="B11" s="22" t="inlineStr">
        <is>
          <t>2025-11-11</t>
        </is>
      </c>
      <c r="C11" s="22" t="inlineStr">
        <is>
          <t>Each</t>
        </is>
      </c>
      <c r="D11" s="23" t="inlineStr">
        <is>
          <t>TREX CLAM SHELL GROOVED 1X6X16</t>
        </is>
      </c>
      <c r="E11" s="22" t="n">
        <v>1</v>
      </c>
      <c r="F11" s="22" t="n">
        <v>6</v>
      </c>
      <c r="G11" s="22" t="n">
        <v>16</v>
      </c>
      <c r="H11" s="24" t="n">
        <v>15</v>
      </c>
      <c r="I11" s="26" t="n">
        <v>47.2</v>
      </c>
      <c r="J11" s="22" t="n">
        <v>15</v>
      </c>
      <c r="K11" s="22" t="n">
        <v>0</v>
      </c>
      <c r="L11" s="22" t="n">
        <v>15</v>
      </c>
      <c r="M11" s="26" t="n">
        <v>708</v>
      </c>
      <c r="N11" s="26" t="n">
        <v>750.48</v>
      </c>
      <c r="O11" s="23" t="inlineStr">
        <is>
          <t>update_po_qty</t>
        </is>
      </c>
      <c r="P11" s="23" t="inlineStr">
        <is>
          <t>TREX CLAM SHELL SQUARE EDGE 1X6X16 (CO#02)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0" customWidth="1" min="4" max="4"/>
    <col width="6" customWidth="1" min="5" max="5"/>
    <col width="6" customWidth="1" min="6" max="6"/>
    <col width="8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 ht="30" customHeight="1">
      <c r="A1" s="1" t="inlineStr">
        <is>
          <t>Invoice #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Length</t>
        </is>
      </c>
      <c r="H1" s="1" t="inlineStr">
        <is>
          <t>Qty Delivered</t>
        </is>
      </c>
      <c r="I1" s="1" t="inlineStr">
        <is>
          <t>Delivered LF</t>
        </is>
      </c>
      <c r="J1" s="1" t="inlineStr">
        <is>
          <t>Delivered BF/SF</t>
        </is>
      </c>
      <c r="K1" s="1" t="inlineStr">
        <is>
          <t>Delivered Cost</t>
        </is>
      </c>
      <c r="L1" s="1" t="inlineStr">
        <is>
          <t>Delivered Cost+Tax</t>
        </is>
      </c>
    </row>
    <row r="2">
      <c r="A2" s="57" t="inlineStr">
        <is>
          <t>68981001</t>
        </is>
      </c>
      <c r="B2" s="57" t="inlineStr">
        <is>
          <t>04/28/2026</t>
        </is>
      </c>
      <c r="C2" s="58" t="inlineStr">
        <is>
          <t>19/32" OSB/PLY</t>
        </is>
      </c>
      <c r="D2" s="57" t="inlineStr">
        <is>
          <t>Panels</t>
        </is>
      </c>
      <c r="E2" s="57" t="n">
        <v>4</v>
      </c>
      <c r="F2" s="57" t="n">
        <v>8</v>
      </c>
      <c r="G2" s="57" t="inlineStr"/>
      <c r="H2" s="59" t="n">
        <v>680</v>
      </c>
      <c r="I2" s="60" t="n">
        <v>0</v>
      </c>
      <c r="J2" s="60" t="n">
        <v>21760</v>
      </c>
      <c r="K2" s="61" t="n">
        <v>13817.6</v>
      </c>
      <c r="L2" s="61" t="n">
        <v>14646.66</v>
      </c>
    </row>
    <row r="3">
      <c r="A3" s="57" t="inlineStr">
        <is>
          <t>68981002</t>
        </is>
      </c>
      <c r="B3" s="57" t="inlineStr">
        <is>
          <t>2026-11-23</t>
        </is>
      </c>
      <c r="C3" s="58" t="inlineStr">
        <is>
          <t>19/32" OSB/PLY</t>
        </is>
      </c>
      <c r="D3" s="57" t="inlineStr">
        <is>
          <t>Panels</t>
        </is>
      </c>
      <c r="E3" s="57" t="n">
        <v>4</v>
      </c>
      <c r="F3" s="57" t="n">
        <v>8</v>
      </c>
      <c r="G3" s="57" t="inlineStr"/>
      <c r="H3" s="59" t="n">
        <v>720</v>
      </c>
      <c r="I3" s="60" t="n">
        <v>0</v>
      </c>
      <c r="J3" s="60" t="n">
        <v>23040</v>
      </c>
      <c r="K3" s="61" t="n">
        <v>14630.4</v>
      </c>
      <c r="L3" s="61" t="n">
        <v>15508.22</v>
      </c>
    </row>
    <row r="4">
      <c r="A4" s="57" t="inlineStr">
        <is>
          <t>68981003</t>
        </is>
      </c>
      <c r="B4" s="57" t="inlineStr">
        <is>
          <t>2026-11-23</t>
        </is>
      </c>
      <c r="C4" s="58" t="inlineStr">
        <is>
          <t>19/32" OSB/PLY</t>
        </is>
      </c>
      <c r="D4" s="57" t="inlineStr">
        <is>
          <t>Panels</t>
        </is>
      </c>
      <c r="E4" s="57" t="n">
        <v>4</v>
      </c>
      <c r="F4" s="57" t="n">
        <v>8</v>
      </c>
      <c r="G4" s="57" t="inlineStr"/>
      <c r="H4" s="59" t="n">
        <v>724</v>
      </c>
      <c r="I4" s="60" t="n">
        <v>0</v>
      </c>
      <c r="J4" s="60" t="n">
        <v>23168</v>
      </c>
      <c r="K4" s="61" t="n">
        <v>14711.68</v>
      </c>
      <c r="L4" s="61" t="n">
        <v>15594.38</v>
      </c>
    </row>
    <row r="5">
      <c r="A5" s="62" t="inlineStr">
        <is>
          <t>68981008</t>
        </is>
      </c>
      <c r="B5" s="62" t="inlineStr">
        <is>
          <t>2025-11-11</t>
        </is>
      </c>
      <c r="C5" s="63" t="inlineStr">
        <is>
          <t>SIMPSON HUC410 (CO#02)</t>
        </is>
      </c>
      <c r="D5" s="62" t="inlineStr">
        <is>
          <t>Each</t>
        </is>
      </c>
      <c r="E5" s="62" t="inlineStr"/>
      <c r="F5" s="62" t="inlineStr"/>
      <c r="G5" s="62" t="inlineStr"/>
      <c r="H5" s="64" t="n">
        <v>4</v>
      </c>
      <c r="I5" s="65" t="n">
        <v>0</v>
      </c>
      <c r="J5" s="65" t="n">
        <v>0</v>
      </c>
      <c r="K5" s="66" t="n">
        <v>65</v>
      </c>
      <c r="L5" s="66" t="n">
        <v>68.90000000000001</v>
      </c>
    </row>
    <row r="6">
      <c r="A6" s="62" t="inlineStr">
        <is>
          <t>68981008</t>
        </is>
      </c>
      <c r="B6" s="62" t="inlineStr">
        <is>
          <t>2025-11-11</t>
        </is>
      </c>
      <c r="C6" s="63" t="inlineStr">
        <is>
          <t>SIMPSON HUC210 (CO#02)</t>
        </is>
      </c>
      <c r="D6" s="62" t="inlineStr">
        <is>
          <t>Each</t>
        </is>
      </c>
      <c r="E6" s="62" t="inlineStr"/>
      <c r="F6" s="62" t="inlineStr"/>
      <c r="G6" s="62" t="inlineStr"/>
      <c r="H6" s="64" t="n">
        <v>10</v>
      </c>
      <c r="I6" s="65" t="n">
        <v>0</v>
      </c>
      <c r="J6" s="65" t="n">
        <v>0</v>
      </c>
      <c r="K6" s="66" t="n">
        <v>181.5</v>
      </c>
      <c r="L6" s="66" t="n">
        <v>192.39</v>
      </c>
    </row>
    <row r="7">
      <c r="A7" s="62" t="inlineStr">
        <is>
          <t>68981008</t>
        </is>
      </c>
      <c r="B7" s="62" t="inlineStr">
        <is>
          <t>2025-11-11</t>
        </is>
      </c>
      <c r="C7" s="63" t="inlineStr">
        <is>
          <t>TREX HIDDEN FASTENERS (CO#02)</t>
        </is>
      </c>
      <c r="D7" s="62" t="inlineStr">
        <is>
          <t>Each</t>
        </is>
      </c>
      <c r="E7" s="62" t="inlineStr"/>
      <c r="F7" s="62" t="inlineStr"/>
      <c r="G7" s="62" t="inlineStr"/>
      <c r="H7" s="64" t="n">
        <v>3</v>
      </c>
      <c r="I7" s="65" t="n">
        <v>0</v>
      </c>
      <c r="J7" s="65" t="n">
        <v>0</v>
      </c>
      <c r="K7" s="66" t="n">
        <v>149.55</v>
      </c>
      <c r="L7" s="66" t="n">
        <v>158.52</v>
      </c>
    </row>
    <row r="8">
      <c r="A8" s="57" t="inlineStr">
        <is>
          <t>68981008</t>
        </is>
      </c>
      <c r="B8" s="57" t="inlineStr">
        <is>
          <t>2025-11-11</t>
        </is>
      </c>
      <c r="C8" s="58" t="inlineStr">
        <is>
          <t>19/32" 4X8 CDX (CO#02)</t>
        </is>
      </c>
      <c r="D8" s="57" t="inlineStr">
        <is>
          <t>Panels</t>
        </is>
      </c>
      <c r="E8" s="57" t="n">
        <v>4</v>
      </c>
      <c r="F8" s="57" t="n">
        <v>8</v>
      </c>
      <c r="G8" s="57" t="inlineStr"/>
      <c r="H8" s="59" t="n">
        <v>3</v>
      </c>
      <c r="I8" s="60" t="n">
        <v>0</v>
      </c>
      <c r="J8" s="60" t="n">
        <v>96</v>
      </c>
      <c r="K8" s="61" t="n">
        <v>2.64</v>
      </c>
      <c r="L8" s="61" t="n">
        <v>2.8</v>
      </c>
    </row>
    <row r="9">
      <c r="A9" s="62" t="inlineStr">
        <is>
          <t>68981008</t>
        </is>
      </c>
      <c r="B9" s="62" t="inlineStr">
        <is>
          <t>2025-11-11</t>
        </is>
      </c>
      <c r="C9" s="63" t="inlineStr">
        <is>
          <t>TREX CLAM SHELL SQUARE EDGE 1X6X16 (CO#02)</t>
        </is>
      </c>
      <c r="D9" s="62" t="inlineStr">
        <is>
          <t>Each</t>
        </is>
      </c>
      <c r="E9" s="62" t="n">
        <v>1</v>
      </c>
      <c r="F9" s="62" t="n">
        <v>6</v>
      </c>
      <c r="G9" s="62" t="n">
        <v>16</v>
      </c>
      <c r="H9" s="64" t="n">
        <v>18</v>
      </c>
      <c r="I9" s="65" t="n">
        <v>0</v>
      </c>
      <c r="J9" s="65" t="n">
        <v>0</v>
      </c>
      <c r="K9" s="66" t="n">
        <v>849.6</v>
      </c>
      <c r="L9" s="66" t="n">
        <v>900.58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2026-05-31T10:11:55Z</dcterms:created>
  <dcterms:modified xsi:type="dcterms:W3CDTF">2026-05-31T10:11:57Z</dcterms:modified>
</cp:coreProperties>
</file>